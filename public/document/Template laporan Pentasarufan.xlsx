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iltalamal\Downloads\"/>
    </mc:Choice>
  </mc:AlternateContent>
  <xr:revisionPtr revIDLastSave="0" documentId="8_{38778D37-565E-40BC-82E1-3DE0048D97AA}" xr6:coauthVersionLast="47" xr6:coauthVersionMax="47" xr10:uidLastSave="{00000000-0000-0000-0000-000000000000}"/>
  <bookViews>
    <workbookView xWindow="21945" yWindow="1320" windowWidth="15375" windowHeight="832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5" i="1" l="1"/>
  <c r="D264" i="1"/>
  <c r="E253" i="1"/>
  <c r="E263" i="1" s="1"/>
  <c r="D253" i="1"/>
  <c r="D263" i="1" s="1"/>
  <c r="E252" i="1"/>
  <c r="E256" i="1" s="1"/>
  <c r="D252" i="1"/>
  <c r="F249" i="1"/>
  <c r="E249" i="1"/>
  <c r="E234" i="1"/>
  <c r="E262" i="1" s="1"/>
  <c r="D234" i="1"/>
  <c r="D262" i="1" s="1"/>
  <c r="F231" i="1"/>
  <c r="E231" i="1"/>
  <c r="E215" i="1"/>
  <c r="E261" i="1" s="1"/>
  <c r="D215" i="1"/>
  <c r="D261" i="1" s="1"/>
  <c r="F213" i="1"/>
  <c r="E213" i="1"/>
  <c r="E190" i="1"/>
  <c r="D190" i="1"/>
  <c r="E189" i="1"/>
  <c r="D189" i="1"/>
  <c r="E188" i="1"/>
  <c r="D188" i="1"/>
  <c r="E187" i="1"/>
  <c r="D187" i="1"/>
  <c r="F185" i="1"/>
  <c r="E185" i="1"/>
  <c r="E170" i="1"/>
  <c r="D170" i="1"/>
  <c r="E169" i="1"/>
  <c r="D169" i="1"/>
  <c r="D197" i="1" s="1"/>
  <c r="F167" i="1"/>
  <c r="E167" i="1"/>
  <c r="E155" i="1"/>
  <c r="E201" i="1" s="1"/>
  <c r="D155" i="1"/>
  <c r="D201" i="1" s="1"/>
  <c r="E154" i="1"/>
  <c r="D154" i="1"/>
  <c r="D275" i="1" s="1"/>
  <c r="E153" i="1"/>
  <c r="E199" i="1" s="1"/>
  <c r="D153" i="1"/>
  <c r="E152" i="1"/>
  <c r="E198" i="1" s="1"/>
  <c r="D152" i="1"/>
  <c r="D198" i="1" s="1"/>
  <c r="F149" i="1"/>
  <c r="E149" i="1"/>
  <c r="E135" i="1"/>
  <c r="D135" i="1"/>
  <c r="E134" i="1"/>
  <c r="D134" i="1"/>
  <c r="E125" i="1"/>
  <c r="D125" i="1"/>
  <c r="E124" i="1"/>
  <c r="D124" i="1"/>
  <c r="E116" i="1"/>
  <c r="E136" i="1" s="1"/>
  <c r="D116" i="1"/>
  <c r="D136" i="1" s="1"/>
  <c r="E113" i="1"/>
  <c r="D113" i="1"/>
  <c r="E112" i="1"/>
  <c r="E122" i="1" s="1"/>
  <c r="D112" i="1"/>
  <c r="D122" i="1" s="1"/>
  <c r="F110" i="1"/>
  <c r="E110" i="1"/>
  <c r="E99" i="1"/>
  <c r="D99" i="1"/>
  <c r="F92" i="1"/>
  <c r="E92" i="1"/>
  <c r="E77" i="1"/>
  <c r="D77" i="1"/>
  <c r="F74" i="1"/>
  <c r="E74" i="1"/>
  <c r="D62" i="1"/>
  <c r="D61" i="1"/>
  <c r="D60" i="1"/>
  <c r="D59" i="1"/>
  <c r="D53" i="1"/>
  <c r="F46" i="1"/>
  <c r="E46" i="1"/>
  <c r="D35" i="1"/>
  <c r="F28" i="1"/>
  <c r="E28" i="1"/>
  <c r="E12" i="1"/>
  <c r="E132" i="1" s="1"/>
  <c r="D12" i="1"/>
  <c r="D132" i="1" s="1"/>
  <c r="F10" i="1"/>
  <c r="E10" i="1"/>
  <c r="E266" i="1" l="1"/>
  <c r="E192" i="1"/>
  <c r="E197" i="1"/>
  <c r="E275" i="1"/>
  <c r="D199" i="1"/>
  <c r="E273" i="1"/>
  <c r="D273" i="1"/>
  <c r="D256" i="1"/>
  <c r="D266" i="1"/>
  <c r="D238" i="1"/>
  <c r="D192" i="1"/>
  <c r="D276" i="1"/>
  <c r="D81" i="1"/>
  <c r="D117" i="1"/>
  <c r="D123" i="1"/>
  <c r="D133" i="1"/>
  <c r="D137" i="1" s="1"/>
  <c r="D156" i="1"/>
  <c r="D174" i="1"/>
  <c r="D200" i="1"/>
  <c r="D272" i="1"/>
  <c r="D274" i="1"/>
  <c r="E117" i="1"/>
  <c r="E123" i="1"/>
  <c r="E127" i="1" s="1"/>
  <c r="E133" i="1"/>
  <c r="E137" i="1" s="1"/>
  <c r="E156" i="1"/>
  <c r="E174" i="1"/>
  <c r="E200" i="1"/>
  <c r="E202" i="1" s="1"/>
  <c r="E238" i="1"/>
  <c r="E272" i="1"/>
  <c r="E274" i="1"/>
  <c r="E276" i="1"/>
  <c r="D17" i="1"/>
  <c r="D58" i="1"/>
  <c r="D63" i="1" s="1"/>
  <c r="D126" i="1"/>
  <c r="D220" i="1"/>
  <c r="E17" i="1"/>
  <c r="E58" i="1"/>
  <c r="E63" i="1" s="1"/>
  <c r="E81" i="1"/>
  <c r="E126" i="1"/>
  <c r="E220" i="1"/>
  <c r="D202" i="1" l="1"/>
  <c r="D277" i="1"/>
  <c r="D127" i="1"/>
  <c r="E277" i="1"/>
</calcChain>
</file>

<file path=xl/sharedStrings.xml><?xml version="1.0" encoding="utf-8"?>
<sst xmlns="http://schemas.openxmlformats.org/spreadsheetml/2006/main" count="375" uniqueCount="92">
  <si>
    <t>Laporan Pentasyarufan Dana Infaq dan Sedekah</t>
  </si>
  <si>
    <t xml:space="preserve"> UPZIS NU CARE LAZISNU Kabupaten Pekalongan</t>
  </si>
  <si>
    <t>Bulan : Januari</t>
  </si>
  <si>
    <t>Tahun 2025</t>
  </si>
  <si>
    <t>No.</t>
  </si>
  <si>
    <t>Tanggal</t>
  </si>
  <si>
    <t>Kategori Pilar</t>
  </si>
  <si>
    <t>Kegiatan Pentasyarufan</t>
  </si>
  <si>
    <t>Penerima Manfaat</t>
  </si>
  <si>
    <t>Nominal</t>
  </si>
  <si>
    <t>Keterangan</t>
  </si>
  <si>
    <t>CERDAS</t>
  </si>
  <si>
    <t>Kegiatan PC PAGAR NUSA</t>
  </si>
  <si>
    <t>Pilar</t>
  </si>
  <si>
    <t>Total Nominal</t>
  </si>
  <si>
    <t>Penerima</t>
  </si>
  <si>
    <t>Cerdas</t>
  </si>
  <si>
    <t>Sehat</t>
  </si>
  <si>
    <t>Berdaya</t>
  </si>
  <si>
    <t>Hijau</t>
  </si>
  <si>
    <t>Damai</t>
  </si>
  <si>
    <t>Bulan : Februari</t>
  </si>
  <si>
    <t>Bulan : Maret</t>
  </si>
  <si>
    <t>Laporan Bulan Januari - Maret</t>
  </si>
  <si>
    <t>Bulan : April</t>
  </si>
  <si>
    <t>SEHAT</t>
  </si>
  <si>
    <t>Donor Darah</t>
  </si>
  <si>
    <t>Kantor PCNU Kab. Pekalongan</t>
  </si>
  <si>
    <t>Joko Purwanto Bojong</t>
  </si>
  <si>
    <t>ke RS Kariadi Semarang</t>
  </si>
  <si>
    <t>Bulan : Mei</t>
  </si>
  <si>
    <t>Bulan : Juni</t>
  </si>
  <si>
    <t>6-7/06/2025</t>
  </si>
  <si>
    <t>DAMAI</t>
  </si>
  <si>
    <t>Kegiatan Qurban</t>
  </si>
  <si>
    <t>Pelatihan Driver Ambulance</t>
  </si>
  <si>
    <t>Tempat RS. KIAS Pekalongan</t>
  </si>
  <si>
    <t>Kegiatan PMII</t>
  </si>
  <si>
    <t xml:space="preserve">Kegiatan PC IPNU IPPNU </t>
  </si>
  <si>
    <t>Kemah Bakti CBP KPP</t>
  </si>
  <si>
    <t>Donor darah</t>
  </si>
  <si>
    <t>Laporan Bulan April - Juni</t>
  </si>
  <si>
    <t xml:space="preserve">Laporan Semester 1 </t>
  </si>
  <si>
    <t>Bulan Januari - Juni</t>
  </si>
  <si>
    <t>Bulan : Juli</t>
  </si>
  <si>
    <t>PD PKPNU</t>
  </si>
  <si>
    <t>Pondpes Baitul Muqoddas Kdw</t>
  </si>
  <si>
    <t>Santunan Yatim Piatu 10 Muharrom</t>
  </si>
  <si>
    <t>Yayasan Yatim Piatu Darul Khadonah Wopi</t>
  </si>
  <si>
    <t>Pent. Kesehatan an. Isro Iliyah KDW</t>
  </si>
  <si>
    <t>BERDAYA</t>
  </si>
  <si>
    <t>Pentasyarufan Burdahan Fatayat</t>
  </si>
  <si>
    <t>Burdah Paninggaran</t>
  </si>
  <si>
    <t>HIJAU</t>
  </si>
  <si>
    <t>Penanaman PC GP ANSOR Kab. Pekl</t>
  </si>
  <si>
    <t>di Karangdadap</t>
  </si>
  <si>
    <t>Bulan : Agustus</t>
  </si>
  <si>
    <t>Beasiswa Mahasiswa An. Tania</t>
  </si>
  <si>
    <t>Universitas Brawijaya Malang</t>
  </si>
  <si>
    <t xml:space="preserve">Bantuan Pengobatan An. Fitriyah Rohmah </t>
  </si>
  <si>
    <t>Ketitang Lor Bojong</t>
  </si>
  <si>
    <t>Bulan : September</t>
  </si>
  <si>
    <t>Burdahan di Siwalan</t>
  </si>
  <si>
    <t>Porsema LP MA'ARIF JATENG</t>
  </si>
  <si>
    <t>Wonosobo</t>
  </si>
  <si>
    <t xml:space="preserve">Donor Darah </t>
  </si>
  <si>
    <t>Penanaman Pohon HSN 2025</t>
  </si>
  <si>
    <t>Pondpes se Kab. Pekalongan</t>
  </si>
  <si>
    <t>Laporan Bulan Juli - September</t>
  </si>
  <si>
    <t>Bulan : Oktober</t>
  </si>
  <si>
    <t>Beasiswa Mahasiwa ITSNU Pekalongan</t>
  </si>
  <si>
    <t>Bulan : November</t>
  </si>
  <si>
    <t>Jalan Sehat PC GP ANSOR Kab. Pekl</t>
  </si>
  <si>
    <t>di Lapangan Wonosari Siwalan</t>
  </si>
  <si>
    <t>Bulan : Desember</t>
  </si>
  <si>
    <t>Konfercab PC Fatayat NU kab. Pkl</t>
  </si>
  <si>
    <t>Porseni PC IPNU IPPNU Kab. Pkl</t>
  </si>
  <si>
    <t>Laporan Bulan Oktober - Desember</t>
  </si>
  <si>
    <t>Peserta</t>
  </si>
  <si>
    <t>Laporan Semester 2</t>
  </si>
  <si>
    <t xml:space="preserve">  Bulan Januari - Desember</t>
  </si>
  <si>
    <t>Catatan :</t>
  </si>
  <si>
    <t>NU CARE SEHAT</t>
  </si>
  <si>
    <t xml:space="preserve">NU CARE CERDAS </t>
  </si>
  <si>
    <t>NU CARE BERDAYA</t>
  </si>
  <si>
    <t>NU CARE HIJAU</t>
  </si>
  <si>
    <t>NU CARE DAMAI</t>
  </si>
  <si>
    <t>Program untuk meningkatkan sumber daya manusia dan kader, melalui kegiatan pendidikan, penyediaan beasiswa, pelatihan, dan memperkuat peran strategis fasilitas pendidikan, baik ditingkat dasar, menengan, dan perguruan tinggi</t>
  </si>
  <si>
    <t>Meningkatkan layanan di bidang kesehatan masyarakat, khususnya dikalangan keluarga kurang mampu melalui tindakan kuratif maupun kegiatan preventif</t>
  </si>
  <si>
    <t>Program untuk mendorong kemandirian dan meningkatkan pendapatan, kesejahteraan serta semangat kewirausahaan melalui kegiatan ekonomi dan pengembangan wirausaha</t>
  </si>
  <si>
    <t>Program yang diarahkan untuk memelihara lingkungan dan sumber daya alam serta pemanfaatannya secara bijaksana dan mendorong keberlanjutan alam sebagai sumber penghidupan masyarakat serta untuk berpartisipasi dalam penanggulangan dan penanganan terhadap bencana alam yang terjadi</t>
  </si>
  <si>
    <t>Program untuk meningkatkan layanan sosial dengan semangat dakwah islam damai dan washatiyah dan misi kemanusiaan dalam berbagai bentuk bantuan sosial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</si>
</sst>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41" formatCode="_-* #,##0_-;\-* #,##0_-;_-* &quot;-&quot;_-;_-@_-"/>
  </numFmts>
  <fonts count="9" x14ac:knownFonts="1">
    <font>
      <sz val="11"/>
      <color theme="1"/>
      <name val="Calibri"/>
      <family val="2"/>
      <scheme val="minor"/>
    </font>
    <font>
      <sz val="11"/>
      <color theme="1"/>
      <name val="Calibri"/>
      <family val="2"/>
      <scheme val="minor"/>
    </font>
    <font>
      <b/>
      <sz val="14"/>
      <color theme="1"/>
      <name val="Arial Narrow"/>
      <family val="2"/>
    </font>
    <font>
      <sz val="11"/>
      <color theme="1"/>
      <name val="Arial Narrow"/>
      <family val="2"/>
    </font>
    <font>
      <sz val="12"/>
      <color theme="1"/>
      <name val="Arial Narrow"/>
      <family val="2"/>
    </font>
    <font>
      <b/>
      <sz val="12"/>
      <color theme="1"/>
      <name val="Arial Narrow"/>
      <family val="2"/>
    </font>
    <font>
      <b/>
      <sz val="11"/>
      <color theme="1"/>
      <name val="Arial Narrow"/>
      <family val="2"/>
    </font>
    <font>
      <b/>
      <sz val="11"/>
      <name val="Arial Narrow"/>
      <family val="2"/>
    </font>
    <font>
      <sz val="11"/>
      <name val="Arial Narrow"/>
      <family val="2"/>
    </font>
  </fonts>
  <fills count="3">
    <fill>
      <patternFill patternType="none"/>
    </fill>
    <fill>
      <patternFill patternType="gray125"/>
    </fill>
    <fill>
      <patternFill patternType="solid">
        <fgColor theme="0" tint="-0.14999847407452621"/>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right" vertic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3" fillId="0" borderId="2" xfId="0" applyFont="1" applyBorder="1" applyAlignment="1">
      <alignment horizontal="center" vertical="center"/>
    </xf>
    <xf numFmtId="14" fontId="3" fillId="0" borderId="3" xfId="0" applyNumberFormat="1" applyFont="1" applyBorder="1" applyAlignment="1">
      <alignment horizontal="center" vertical="center"/>
    </xf>
    <xf numFmtId="0" fontId="3" fillId="0" borderId="2" xfId="0" applyFont="1" applyBorder="1" applyAlignment="1">
      <alignment vertical="center"/>
    </xf>
    <xf numFmtId="42" fontId="3" fillId="0" borderId="2" xfId="2" applyFont="1" applyBorder="1" applyAlignment="1">
      <alignment vertical="center"/>
    </xf>
    <xf numFmtId="14" fontId="3" fillId="0" borderId="2" xfId="0" applyNumberFormat="1" applyFont="1" applyBorder="1" applyAlignment="1">
      <alignment vertical="center"/>
    </xf>
    <xf numFmtId="42" fontId="6" fillId="0" borderId="2" xfId="0" applyNumberFormat="1" applyFont="1" applyBorder="1" applyAlignment="1">
      <alignment vertical="center"/>
    </xf>
    <xf numFmtId="0" fontId="6" fillId="0" borderId="2" xfId="0" applyFont="1" applyBorder="1" applyAlignment="1">
      <alignment horizontal="center" vertical="center"/>
    </xf>
    <xf numFmtId="0" fontId="6" fillId="0" borderId="2" xfId="0" applyFont="1" applyBorder="1" applyAlignment="1">
      <alignment vertical="center"/>
    </xf>
    <xf numFmtId="0" fontId="3" fillId="0" borderId="2" xfId="3" applyNumberFormat="1" applyFont="1" applyBorder="1" applyAlignment="1">
      <alignment horizontal="center" vertical="center"/>
    </xf>
    <xf numFmtId="0" fontId="7"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7" fillId="2" borderId="2" xfId="0" applyFont="1" applyFill="1" applyBorder="1" applyAlignment="1">
      <alignment vertical="center"/>
    </xf>
    <xf numFmtId="42" fontId="8" fillId="2" borderId="2" xfId="2" applyFont="1" applyFill="1" applyBorder="1" applyAlignment="1">
      <alignment vertical="center"/>
    </xf>
    <xf numFmtId="0" fontId="3" fillId="2" borderId="2" xfId="0" applyFont="1" applyFill="1" applyBorder="1" applyAlignment="1">
      <alignment horizontal="center" vertical="center"/>
    </xf>
    <xf numFmtId="0" fontId="8" fillId="2" borderId="2" xfId="0" applyFont="1" applyFill="1" applyBorder="1" applyAlignment="1">
      <alignment vertical="center"/>
    </xf>
    <xf numFmtId="42" fontId="7" fillId="2" borderId="2" xfId="0" applyNumberFormat="1" applyFont="1" applyFill="1" applyBorder="1" applyAlignment="1">
      <alignment vertical="center"/>
    </xf>
    <xf numFmtId="0" fontId="3" fillId="0" borderId="2" xfId="0" applyFont="1" applyBorder="1" applyAlignment="1">
      <alignment horizontal="left" vertical="center"/>
    </xf>
    <xf numFmtId="14" fontId="3" fillId="0" borderId="2" xfId="0" applyNumberFormat="1" applyFont="1" applyBorder="1" applyAlignment="1">
      <alignment horizontal="center" vertical="center"/>
    </xf>
    <xf numFmtId="0" fontId="3" fillId="0" borderId="2" xfId="0" applyFont="1" applyBorder="1" applyAlignment="1">
      <alignment vertical="center" wrapText="1"/>
    </xf>
    <xf numFmtId="14" fontId="3" fillId="0" borderId="0" xfId="0" applyNumberFormat="1" applyFont="1" applyAlignment="1">
      <alignment vertical="center"/>
    </xf>
    <xf numFmtId="0" fontId="3" fillId="0" borderId="5" xfId="0" applyFont="1" applyBorder="1" applyAlignment="1">
      <alignment horizontal="center" vertical="center"/>
    </xf>
    <xf numFmtId="0" fontId="3" fillId="0" borderId="4" xfId="0" applyFont="1" applyBorder="1" applyAlignment="1">
      <alignment vertical="center" wrapText="1"/>
    </xf>
    <xf numFmtId="0" fontId="3" fillId="0" borderId="2" xfId="1" applyNumberFormat="1" applyFont="1" applyBorder="1" applyAlignment="1">
      <alignment horizontal="center" vertical="center"/>
    </xf>
    <xf numFmtId="42" fontId="3" fillId="0" borderId="2" xfId="2" applyFont="1" applyFill="1" applyBorder="1" applyAlignment="1">
      <alignment vertical="center"/>
    </xf>
    <xf numFmtId="0" fontId="3" fillId="2" borderId="2" xfId="1" applyNumberFormat="1" applyFont="1" applyFill="1" applyBorder="1" applyAlignment="1">
      <alignment horizontal="center" vertical="center"/>
    </xf>
    <xf numFmtId="0" fontId="3" fillId="2" borderId="2" xfId="1" applyNumberFormat="1" applyFont="1" applyFill="1" applyBorder="1" applyAlignment="1">
      <alignment horizontal="center"/>
    </xf>
    <xf numFmtId="0" fontId="3" fillId="0" borderId="0" xfId="0" applyFont="1" applyAlignment="1">
      <alignment horizontal="center" vertical="center"/>
    </xf>
    <xf numFmtId="0" fontId="3" fillId="0" borderId="0" xfId="0" applyFont="1" applyAlignment="1">
      <alignment vertical="center" wrapText="1"/>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3" fillId="0" borderId="0" xfId="0" applyFont="1" applyAlignment="1">
      <alignment vertical="top" wrapText="1"/>
    </xf>
    <xf numFmtId="0" fontId="2" fillId="0" borderId="0" xfId="0" applyFont="1" applyAlignment="1">
      <alignment horizontal="center" vertical="center"/>
    </xf>
    <xf numFmtId="0" fontId="4" fillId="0" borderId="1" xfId="0" applyFont="1" applyBorder="1" applyAlignment="1">
      <alignment horizontal="left" vertical="center"/>
    </xf>
  </cellXfs>
  <cellStyles count="4">
    <cellStyle name="Comma [0]" xfId="1" builtinId="6"/>
    <cellStyle name="Currency [0]" xfId="2" builtinId="7"/>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4"/>
  <sheetViews>
    <sheetView tabSelected="1" topLeftCell="A48" zoomScale="85" zoomScaleNormal="85" workbookViewId="0">
      <selection activeCell="E69" sqref="E69"/>
    </sheetView>
  </sheetViews>
  <sheetFormatPr defaultRowHeight="16.5" x14ac:dyDescent="0.25"/>
  <cols>
    <col min="1" max="1" width="5.140625" style="1" customWidth="1"/>
    <col min="2" max="2" width="19.140625" style="1" customWidth="1"/>
    <col min="3" max="3" width="14.7109375" style="1" customWidth="1"/>
    <col min="4" max="4" width="35.5703125" style="1" customWidth="1"/>
    <col min="5" max="5" width="11.5703125" style="1" customWidth="1"/>
    <col min="6" max="6" width="14.7109375" style="1" customWidth="1"/>
    <col min="7" max="7" width="40.7109375" style="1" customWidth="1"/>
    <col min="8" max="16384" width="9.140625" style="1"/>
  </cols>
  <sheetData>
    <row r="1" spans="1:7" ht="20.100000000000001" customHeight="1" x14ac:dyDescent="0.25">
      <c r="A1" s="37" t="s">
        <v>0</v>
      </c>
      <c r="B1" s="37"/>
      <c r="C1" s="37"/>
      <c r="D1" s="37"/>
      <c r="E1" s="37"/>
      <c r="F1" s="37"/>
      <c r="G1" s="37"/>
    </row>
    <row r="2" spans="1:7" ht="20.100000000000001" customHeight="1" x14ac:dyDescent="0.25">
      <c r="A2" s="37" t="s">
        <v>1</v>
      </c>
      <c r="B2" s="37"/>
      <c r="C2" s="37"/>
      <c r="D2" s="37"/>
      <c r="E2" s="37"/>
      <c r="F2" s="37"/>
      <c r="G2" s="37"/>
    </row>
    <row r="3" spans="1:7" ht="20.100000000000001" customHeight="1" x14ac:dyDescent="0.25">
      <c r="A3" s="38" t="s">
        <v>2</v>
      </c>
      <c r="B3" s="38"/>
      <c r="C3" s="38"/>
      <c r="D3" s="2"/>
      <c r="E3" s="2"/>
      <c r="F3" s="2"/>
      <c r="G3" s="3" t="s">
        <v>3</v>
      </c>
    </row>
    <row r="4" spans="1:7" ht="30" customHeight="1" x14ac:dyDescent="0.25">
      <c r="A4" s="4" t="s">
        <v>4</v>
      </c>
      <c r="B4" s="4" t="s">
        <v>5</v>
      </c>
      <c r="C4" s="4" t="s">
        <v>6</v>
      </c>
      <c r="D4" s="4" t="s">
        <v>7</v>
      </c>
      <c r="E4" s="5" t="s">
        <v>8</v>
      </c>
      <c r="F4" s="4" t="s">
        <v>9</v>
      </c>
      <c r="G4" s="4" t="s">
        <v>10</v>
      </c>
    </row>
    <row r="5" spans="1:7" ht="20.100000000000001" customHeight="1" x14ac:dyDescent="0.25">
      <c r="A5" s="6">
        <v>1</v>
      </c>
      <c r="B5" s="7">
        <v>45677</v>
      </c>
      <c r="C5" s="8" t="s">
        <v>11</v>
      </c>
      <c r="D5" s="8" t="s">
        <v>12</v>
      </c>
      <c r="E5" s="6">
        <v>10</v>
      </c>
      <c r="F5" s="9">
        <v>5000000</v>
      </c>
      <c r="G5" s="8"/>
    </row>
    <row r="6" spans="1:7" ht="20.100000000000001" customHeight="1" x14ac:dyDescent="0.25">
      <c r="A6" s="6">
        <v>2</v>
      </c>
      <c r="B6" s="10"/>
      <c r="C6" s="8"/>
      <c r="D6" s="8"/>
      <c r="E6" s="6"/>
      <c r="F6" s="9"/>
      <c r="G6" s="8"/>
    </row>
    <row r="7" spans="1:7" ht="20.100000000000001" customHeight="1" x14ac:dyDescent="0.25">
      <c r="A7" s="6">
        <v>3</v>
      </c>
      <c r="B7" s="10"/>
      <c r="C7" s="8"/>
      <c r="D7" s="8"/>
      <c r="E7" s="6"/>
      <c r="F7" s="9"/>
      <c r="G7" s="8"/>
    </row>
    <row r="8" spans="1:7" ht="20.100000000000001" customHeight="1" x14ac:dyDescent="0.25">
      <c r="A8" s="6">
        <v>4</v>
      </c>
      <c r="B8" s="10"/>
      <c r="C8" s="8"/>
      <c r="D8" s="8"/>
      <c r="E8" s="6"/>
      <c r="F8" s="9"/>
      <c r="G8" s="8"/>
    </row>
    <row r="9" spans="1:7" ht="20.100000000000001" customHeight="1" x14ac:dyDescent="0.25">
      <c r="A9" s="6">
        <v>5</v>
      </c>
      <c r="B9" s="10"/>
      <c r="C9" s="8"/>
      <c r="D9" s="8"/>
      <c r="E9" s="6"/>
      <c r="F9" s="9"/>
      <c r="G9" s="8"/>
    </row>
    <row r="10" spans="1:7" ht="20.100000000000001" customHeight="1" x14ac:dyDescent="0.25">
      <c r="E10" s="6">
        <f>SUM(E5:E9)</f>
        <v>10</v>
      </c>
      <c r="F10" s="11">
        <f>SUM(F5:F9)</f>
        <v>5000000</v>
      </c>
    </row>
    <row r="11" spans="1:7" ht="20.100000000000001" customHeight="1" x14ac:dyDescent="0.25">
      <c r="B11" s="1" t="s">
        <v>10</v>
      </c>
      <c r="C11" s="12" t="s">
        <v>13</v>
      </c>
      <c r="D11" s="12" t="s">
        <v>14</v>
      </c>
      <c r="E11" s="12" t="s">
        <v>15</v>
      </c>
    </row>
    <row r="12" spans="1:7" ht="20.100000000000001" customHeight="1" x14ac:dyDescent="0.25">
      <c r="C12" s="13" t="s">
        <v>16</v>
      </c>
      <c r="D12" s="9">
        <f>F5</f>
        <v>5000000</v>
      </c>
      <c r="E12" s="14">
        <f>E5</f>
        <v>10</v>
      </c>
    </row>
    <row r="13" spans="1:7" ht="20.100000000000001" customHeight="1" x14ac:dyDescent="0.25">
      <c r="C13" s="13" t="s">
        <v>17</v>
      </c>
      <c r="D13" s="9">
        <v>0</v>
      </c>
      <c r="E13" s="14"/>
    </row>
    <row r="14" spans="1:7" ht="20.100000000000001" customHeight="1" x14ac:dyDescent="0.25">
      <c r="C14" s="13" t="s">
        <v>18</v>
      </c>
      <c r="D14" s="9">
        <v>0</v>
      </c>
      <c r="E14" s="14"/>
    </row>
    <row r="15" spans="1:7" ht="20.100000000000001" customHeight="1" x14ac:dyDescent="0.25">
      <c r="C15" s="13" t="s">
        <v>19</v>
      </c>
      <c r="D15" s="9">
        <v>0</v>
      </c>
      <c r="E15" s="14"/>
    </row>
    <row r="16" spans="1:7" ht="20.100000000000001" customHeight="1" x14ac:dyDescent="0.25">
      <c r="C16" s="13" t="s">
        <v>20</v>
      </c>
      <c r="D16" s="9">
        <v>0</v>
      </c>
      <c r="E16" s="14"/>
    </row>
    <row r="17" spans="1:7" ht="20.100000000000001" customHeight="1" x14ac:dyDescent="0.25">
      <c r="C17" s="8"/>
      <c r="D17" s="11">
        <f>SUM(D12:D16)</f>
        <v>5000000</v>
      </c>
      <c r="E17" s="6">
        <f>SUM(E12:E16)</f>
        <v>10</v>
      </c>
    </row>
    <row r="19" spans="1:7" ht="20.100000000000001" customHeight="1" x14ac:dyDescent="0.25">
      <c r="A19" s="37" t="s">
        <v>0</v>
      </c>
      <c r="B19" s="37"/>
      <c r="C19" s="37"/>
      <c r="D19" s="37"/>
      <c r="E19" s="37"/>
      <c r="F19" s="37"/>
      <c r="G19" s="37"/>
    </row>
    <row r="20" spans="1:7" ht="20.100000000000001" customHeight="1" x14ac:dyDescent="0.25">
      <c r="A20" s="37" t="s">
        <v>1</v>
      </c>
      <c r="B20" s="37"/>
      <c r="C20" s="37"/>
      <c r="D20" s="37"/>
      <c r="E20" s="37"/>
      <c r="F20" s="37"/>
      <c r="G20" s="37"/>
    </row>
    <row r="21" spans="1:7" ht="20.100000000000001" customHeight="1" x14ac:dyDescent="0.25">
      <c r="A21" s="38" t="s">
        <v>21</v>
      </c>
      <c r="B21" s="38"/>
      <c r="C21" s="38"/>
      <c r="D21" s="2"/>
      <c r="E21" s="2"/>
      <c r="F21" s="2"/>
      <c r="G21" s="3" t="s">
        <v>3</v>
      </c>
    </row>
    <row r="22" spans="1:7" ht="30" customHeight="1" x14ac:dyDescent="0.25">
      <c r="A22" s="4" t="s">
        <v>4</v>
      </c>
      <c r="B22" s="4" t="s">
        <v>5</v>
      </c>
      <c r="C22" s="4" t="s">
        <v>6</v>
      </c>
      <c r="D22" s="4" t="s">
        <v>7</v>
      </c>
      <c r="E22" s="5" t="s">
        <v>8</v>
      </c>
      <c r="F22" s="4" t="s">
        <v>9</v>
      </c>
      <c r="G22" s="4" t="s">
        <v>10</v>
      </c>
    </row>
    <row r="23" spans="1:7" ht="20.100000000000001" customHeight="1" x14ac:dyDescent="0.25">
      <c r="A23" s="6">
        <v>1</v>
      </c>
      <c r="B23" s="10"/>
      <c r="C23" s="8"/>
      <c r="D23" s="8"/>
      <c r="E23" s="6"/>
      <c r="F23" s="9"/>
      <c r="G23" s="8"/>
    </row>
    <row r="24" spans="1:7" ht="20.100000000000001" customHeight="1" x14ac:dyDescent="0.25">
      <c r="A24" s="6">
        <v>2</v>
      </c>
      <c r="B24" s="10"/>
      <c r="C24" s="8"/>
      <c r="D24" s="8"/>
      <c r="E24" s="6"/>
      <c r="F24" s="9"/>
      <c r="G24" s="8"/>
    </row>
    <row r="25" spans="1:7" ht="20.100000000000001" customHeight="1" x14ac:dyDescent="0.25">
      <c r="A25" s="6">
        <v>3</v>
      </c>
      <c r="B25" s="10"/>
      <c r="C25" s="8"/>
      <c r="D25" s="8"/>
      <c r="E25" s="6"/>
      <c r="F25" s="9"/>
      <c r="G25" s="8"/>
    </row>
    <row r="26" spans="1:7" ht="20.100000000000001" customHeight="1" x14ac:dyDescent="0.25">
      <c r="A26" s="6">
        <v>4</v>
      </c>
      <c r="B26" s="10"/>
      <c r="C26" s="8"/>
      <c r="D26" s="8"/>
      <c r="E26" s="6"/>
      <c r="F26" s="9"/>
      <c r="G26" s="8"/>
    </row>
    <row r="27" spans="1:7" ht="20.100000000000001" customHeight="1" x14ac:dyDescent="0.25">
      <c r="A27" s="6">
        <v>5</v>
      </c>
      <c r="B27" s="10"/>
      <c r="C27" s="8"/>
      <c r="D27" s="8"/>
      <c r="E27" s="6"/>
      <c r="F27" s="9"/>
      <c r="G27" s="8"/>
    </row>
    <row r="28" spans="1:7" ht="20.100000000000001" customHeight="1" x14ac:dyDescent="0.25">
      <c r="E28" s="6">
        <f>SUM(E23:E27)</f>
        <v>0</v>
      </c>
      <c r="F28" s="11">
        <f>SUM(F23:F27)</f>
        <v>0</v>
      </c>
    </row>
    <row r="29" spans="1:7" ht="20.100000000000001" customHeight="1" x14ac:dyDescent="0.25">
      <c r="B29" s="1" t="s">
        <v>10</v>
      </c>
      <c r="C29" s="12" t="s">
        <v>13</v>
      </c>
      <c r="D29" s="12" t="s">
        <v>14</v>
      </c>
      <c r="E29" s="12" t="s">
        <v>15</v>
      </c>
    </row>
    <row r="30" spans="1:7" ht="20.100000000000001" customHeight="1" x14ac:dyDescent="0.25">
      <c r="C30" s="13" t="s">
        <v>16</v>
      </c>
      <c r="D30" s="9">
        <v>0</v>
      </c>
      <c r="E30" s="14"/>
    </row>
    <row r="31" spans="1:7" ht="20.100000000000001" customHeight="1" x14ac:dyDescent="0.25">
      <c r="C31" s="13" t="s">
        <v>17</v>
      </c>
      <c r="D31" s="9">
        <v>0</v>
      </c>
      <c r="E31" s="14"/>
    </row>
    <row r="32" spans="1:7" ht="20.100000000000001" customHeight="1" x14ac:dyDescent="0.25">
      <c r="C32" s="13" t="s">
        <v>18</v>
      </c>
      <c r="D32" s="9">
        <v>0</v>
      </c>
      <c r="E32" s="14"/>
    </row>
    <row r="33" spans="1:7" ht="20.100000000000001" customHeight="1" x14ac:dyDescent="0.25">
      <c r="C33" s="13" t="s">
        <v>19</v>
      </c>
      <c r="D33" s="9">
        <v>0</v>
      </c>
      <c r="E33" s="14"/>
    </row>
    <row r="34" spans="1:7" ht="20.100000000000001" customHeight="1" x14ac:dyDescent="0.25">
      <c r="C34" s="13" t="s">
        <v>20</v>
      </c>
      <c r="D34" s="9">
        <v>0</v>
      </c>
      <c r="E34" s="14"/>
    </row>
    <row r="35" spans="1:7" ht="20.100000000000001" customHeight="1" x14ac:dyDescent="0.25">
      <c r="C35" s="8"/>
      <c r="D35" s="11">
        <f>SUM(D30:D34)</f>
        <v>0</v>
      </c>
      <c r="E35" s="6"/>
    </row>
    <row r="37" spans="1:7" ht="20.100000000000001" customHeight="1" x14ac:dyDescent="0.25">
      <c r="A37" s="37" t="s">
        <v>0</v>
      </c>
      <c r="B37" s="37"/>
      <c r="C37" s="37"/>
      <c r="D37" s="37"/>
      <c r="E37" s="37"/>
      <c r="F37" s="37"/>
      <c r="G37" s="37"/>
    </row>
    <row r="38" spans="1:7" ht="20.100000000000001" customHeight="1" x14ac:dyDescent="0.25">
      <c r="A38" s="37" t="s">
        <v>1</v>
      </c>
      <c r="B38" s="37"/>
      <c r="C38" s="37"/>
      <c r="D38" s="37"/>
      <c r="E38" s="37"/>
      <c r="F38" s="37"/>
      <c r="G38" s="37"/>
    </row>
    <row r="39" spans="1:7" ht="20.100000000000001" customHeight="1" x14ac:dyDescent="0.25">
      <c r="A39" s="38" t="s">
        <v>22</v>
      </c>
      <c r="B39" s="38"/>
      <c r="C39" s="38"/>
      <c r="D39" s="2"/>
      <c r="E39" s="2"/>
      <c r="F39" s="2"/>
      <c r="G39" s="3" t="s">
        <v>3</v>
      </c>
    </row>
    <row r="40" spans="1:7" ht="30" customHeight="1" x14ac:dyDescent="0.25">
      <c r="A40" s="4" t="s">
        <v>4</v>
      </c>
      <c r="B40" s="4" t="s">
        <v>5</v>
      </c>
      <c r="C40" s="4" t="s">
        <v>6</v>
      </c>
      <c r="D40" s="4" t="s">
        <v>7</v>
      </c>
      <c r="E40" s="5" t="s">
        <v>8</v>
      </c>
      <c r="F40" s="4" t="s">
        <v>9</v>
      </c>
      <c r="G40" s="4" t="s">
        <v>10</v>
      </c>
    </row>
    <row r="41" spans="1:7" ht="20.100000000000001" customHeight="1" x14ac:dyDescent="0.25">
      <c r="A41" s="6">
        <v>1</v>
      </c>
      <c r="B41" s="10"/>
      <c r="C41" s="8"/>
      <c r="D41" s="8"/>
      <c r="E41" s="6"/>
      <c r="F41" s="9"/>
      <c r="G41" s="8"/>
    </row>
    <row r="42" spans="1:7" ht="20.100000000000001" customHeight="1" x14ac:dyDescent="0.25">
      <c r="A42" s="6">
        <v>2</v>
      </c>
      <c r="B42" s="10"/>
      <c r="C42" s="8"/>
      <c r="D42" s="8"/>
      <c r="E42" s="6"/>
      <c r="F42" s="9"/>
      <c r="G42" s="8"/>
    </row>
    <row r="43" spans="1:7" ht="20.100000000000001" customHeight="1" x14ac:dyDescent="0.25">
      <c r="A43" s="6">
        <v>3</v>
      </c>
      <c r="B43" s="10"/>
      <c r="C43" s="8"/>
      <c r="D43" s="8"/>
      <c r="E43" s="6"/>
      <c r="F43" s="9"/>
      <c r="G43" s="8"/>
    </row>
    <row r="44" spans="1:7" ht="20.100000000000001" customHeight="1" x14ac:dyDescent="0.25">
      <c r="A44" s="6">
        <v>4</v>
      </c>
      <c r="B44" s="10"/>
      <c r="C44" s="8"/>
      <c r="D44" s="8"/>
      <c r="E44" s="6"/>
      <c r="F44" s="9"/>
      <c r="G44" s="8"/>
    </row>
    <row r="45" spans="1:7" ht="20.100000000000001" customHeight="1" x14ac:dyDescent="0.25">
      <c r="A45" s="6">
        <v>5</v>
      </c>
      <c r="B45" s="10"/>
      <c r="C45" s="8"/>
      <c r="D45" s="8"/>
      <c r="E45" s="6"/>
      <c r="F45" s="9"/>
      <c r="G45" s="8"/>
    </row>
    <row r="46" spans="1:7" ht="20.100000000000001" customHeight="1" x14ac:dyDescent="0.25">
      <c r="E46" s="6">
        <f>SUM(E41:E45)</f>
        <v>0</v>
      </c>
      <c r="F46" s="11">
        <f>SUM(F41:F45)</f>
        <v>0</v>
      </c>
    </row>
    <row r="47" spans="1:7" ht="20.100000000000001" customHeight="1" x14ac:dyDescent="0.25">
      <c r="B47" s="1" t="s">
        <v>10</v>
      </c>
      <c r="C47" s="12" t="s">
        <v>13</v>
      </c>
      <c r="D47" s="12" t="s">
        <v>14</v>
      </c>
      <c r="E47" s="12" t="s">
        <v>15</v>
      </c>
    </row>
    <row r="48" spans="1:7" ht="20.100000000000001" customHeight="1" x14ac:dyDescent="0.25">
      <c r="C48" s="13" t="s">
        <v>16</v>
      </c>
      <c r="D48" s="9">
        <v>0</v>
      </c>
      <c r="E48" s="14"/>
    </row>
    <row r="49" spans="3:5" ht="20.100000000000001" customHeight="1" x14ac:dyDescent="0.25">
      <c r="C49" s="13" t="s">
        <v>17</v>
      </c>
      <c r="D49" s="9">
        <v>0</v>
      </c>
      <c r="E49" s="14"/>
    </row>
    <row r="50" spans="3:5" ht="20.100000000000001" customHeight="1" x14ac:dyDescent="0.25">
      <c r="C50" s="13" t="s">
        <v>18</v>
      </c>
      <c r="D50" s="9">
        <v>0</v>
      </c>
      <c r="E50" s="14"/>
    </row>
    <row r="51" spans="3:5" ht="20.100000000000001" customHeight="1" x14ac:dyDescent="0.25">
      <c r="C51" s="13" t="s">
        <v>19</v>
      </c>
      <c r="D51" s="9">
        <v>0</v>
      </c>
      <c r="E51" s="14"/>
    </row>
    <row r="52" spans="3:5" ht="20.100000000000001" customHeight="1" x14ac:dyDescent="0.25">
      <c r="C52" s="13" t="s">
        <v>20</v>
      </c>
      <c r="D52" s="9">
        <v>0</v>
      </c>
      <c r="E52" s="14"/>
    </row>
    <row r="53" spans="3:5" ht="20.100000000000001" customHeight="1" x14ac:dyDescent="0.25">
      <c r="C53" s="8"/>
      <c r="D53" s="11">
        <f>SUM(D48:D52)</f>
        <v>0</v>
      </c>
      <c r="E53" s="6"/>
    </row>
    <row r="56" spans="3:5" ht="20.100000000000001" customHeight="1" x14ac:dyDescent="0.25">
      <c r="C56" s="35" t="s">
        <v>23</v>
      </c>
      <c r="D56" s="35"/>
      <c r="E56" s="35"/>
    </row>
    <row r="57" spans="3:5" ht="20.100000000000001" customHeight="1" x14ac:dyDescent="0.25">
      <c r="C57" s="15" t="s">
        <v>13</v>
      </c>
      <c r="D57" s="15" t="s">
        <v>14</v>
      </c>
      <c r="E57" s="16" t="s">
        <v>15</v>
      </c>
    </row>
    <row r="58" spans="3:5" ht="20.100000000000001" customHeight="1" x14ac:dyDescent="0.25">
      <c r="C58" s="17" t="s">
        <v>16</v>
      </c>
      <c r="D58" s="18">
        <f>D12+D30+D48</f>
        <v>5000000</v>
      </c>
      <c r="E58" s="19">
        <f>E12+E30+E48</f>
        <v>10</v>
      </c>
    </row>
    <row r="59" spans="3:5" ht="20.100000000000001" customHeight="1" x14ac:dyDescent="0.25">
      <c r="C59" s="17" t="s">
        <v>17</v>
      </c>
      <c r="D59" s="18">
        <f>D13+D31+D49</f>
        <v>0</v>
      </c>
      <c r="E59" s="19"/>
    </row>
    <row r="60" spans="3:5" ht="20.100000000000001" customHeight="1" x14ac:dyDescent="0.25">
      <c r="C60" s="17" t="s">
        <v>18</v>
      </c>
      <c r="D60" s="18">
        <f>D14+D32+D50</f>
        <v>0</v>
      </c>
      <c r="E60" s="19"/>
    </row>
    <row r="61" spans="3:5" ht="20.100000000000001" customHeight="1" x14ac:dyDescent="0.25">
      <c r="C61" s="17" t="s">
        <v>19</v>
      </c>
      <c r="D61" s="18">
        <f>D15+D33+D51</f>
        <v>0</v>
      </c>
      <c r="E61" s="19"/>
    </row>
    <row r="62" spans="3:5" ht="20.100000000000001" customHeight="1" x14ac:dyDescent="0.25">
      <c r="C62" s="17" t="s">
        <v>20</v>
      </c>
      <c r="D62" s="18">
        <f>D16+D34+D52</f>
        <v>0</v>
      </c>
      <c r="E62" s="19"/>
    </row>
    <row r="63" spans="3:5" ht="20.100000000000001" customHeight="1" x14ac:dyDescent="0.25">
      <c r="C63" s="20"/>
      <c r="D63" s="21">
        <f>SUM(D58:D62)</f>
        <v>5000000</v>
      </c>
      <c r="E63" s="19">
        <f>SUM(E58:E62)</f>
        <v>10</v>
      </c>
    </row>
    <row r="65" spans="1:7" ht="20.100000000000001" customHeight="1" x14ac:dyDescent="0.25">
      <c r="A65" s="37" t="s">
        <v>0</v>
      </c>
      <c r="B65" s="37"/>
      <c r="C65" s="37"/>
      <c r="D65" s="37"/>
      <c r="E65" s="37"/>
      <c r="F65" s="37"/>
      <c r="G65" s="37"/>
    </row>
    <row r="66" spans="1:7" ht="20.100000000000001" customHeight="1" x14ac:dyDescent="0.25">
      <c r="A66" s="37" t="s">
        <v>1</v>
      </c>
      <c r="B66" s="37"/>
      <c r="C66" s="37"/>
      <c r="D66" s="37"/>
      <c r="E66" s="37"/>
      <c r="F66" s="37"/>
      <c r="G66" s="37"/>
    </row>
    <row r="67" spans="1:7" ht="20.100000000000001" customHeight="1" x14ac:dyDescent="0.25">
      <c r="A67" s="38" t="s">
        <v>24</v>
      </c>
      <c r="B67" s="38"/>
      <c r="C67" s="38"/>
      <c r="D67" s="2"/>
      <c r="E67" s="2"/>
      <c r="F67" s="2"/>
      <c r="G67" s="3" t="s">
        <v>3</v>
      </c>
    </row>
    <row r="68" spans="1:7" ht="30" customHeight="1" x14ac:dyDescent="0.25">
      <c r="A68" s="4" t="s">
        <v>4</v>
      </c>
      <c r="B68" s="4" t="s">
        <v>5</v>
      </c>
      <c r="C68" s="4" t="s">
        <v>6</v>
      </c>
      <c r="D68" s="4" t="s">
        <v>7</v>
      </c>
      <c r="E68" s="5" t="s">
        <v>8</v>
      </c>
      <c r="F68" s="4" t="s">
        <v>9</v>
      </c>
      <c r="G68" s="4" t="s">
        <v>10</v>
      </c>
    </row>
    <row r="69" spans="1:7" ht="20.100000000000001" customHeight="1" x14ac:dyDescent="0.25">
      <c r="A69" s="6">
        <v>1</v>
      </c>
      <c r="B69" s="7">
        <v>45761</v>
      </c>
      <c r="C69" s="8" t="s">
        <v>25</v>
      </c>
      <c r="D69" s="22" t="s">
        <v>26</v>
      </c>
      <c r="E69" s="6">
        <v>34</v>
      </c>
      <c r="F69" s="9">
        <v>5000000</v>
      </c>
      <c r="G69" s="8" t="s">
        <v>27</v>
      </c>
    </row>
    <row r="70" spans="1:7" ht="20.100000000000001" customHeight="1" x14ac:dyDescent="0.25">
      <c r="A70" s="6">
        <v>2</v>
      </c>
      <c r="B70" s="7">
        <v>45770</v>
      </c>
      <c r="C70" s="8" t="s">
        <v>25</v>
      </c>
      <c r="D70" s="22" t="s">
        <v>28</v>
      </c>
      <c r="E70" s="6">
        <v>1</v>
      </c>
      <c r="F70" s="9">
        <v>5000000</v>
      </c>
      <c r="G70" s="8" t="s">
        <v>29</v>
      </c>
    </row>
    <row r="71" spans="1:7" ht="20.100000000000001" customHeight="1" x14ac:dyDescent="0.25">
      <c r="A71" s="6">
        <v>3</v>
      </c>
      <c r="B71" s="10"/>
      <c r="C71" s="8"/>
      <c r="D71" s="8"/>
      <c r="E71" s="6"/>
      <c r="F71" s="9"/>
      <c r="G71" s="8"/>
    </row>
    <row r="72" spans="1:7" ht="20.100000000000001" customHeight="1" x14ac:dyDescent="0.25">
      <c r="A72" s="6">
        <v>4</v>
      </c>
      <c r="B72" s="10"/>
      <c r="C72" s="8"/>
      <c r="D72" s="8"/>
      <c r="E72" s="6"/>
      <c r="F72" s="9"/>
      <c r="G72" s="8"/>
    </row>
    <row r="73" spans="1:7" ht="20.100000000000001" customHeight="1" x14ac:dyDescent="0.25">
      <c r="A73" s="6">
        <v>5</v>
      </c>
      <c r="B73" s="10"/>
      <c r="C73" s="8"/>
      <c r="D73" s="8"/>
      <c r="E73" s="6"/>
      <c r="F73" s="9"/>
      <c r="G73" s="8"/>
    </row>
    <row r="74" spans="1:7" ht="20.100000000000001" customHeight="1" x14ac:dyDescent="0.25">
      <c r="E74" s="6">
        <f>SUM(E69:E73)</f>
        <v>35</v>
      </c>
      <c r="F74" s="11">
        <f>SUM(F69:F73)</f>
        <v>10000000</v>
      </c>
    </row>
    <row r="75" spans="1:7" ht="20.100000000000001" customHeight="1" x14ac:dyDescent="0.25">
      <c r="B75" s="1" t="s">
        <v>10</v>
      </c>
      <c r="C75" s="12" t="s">
        <v>13</v>
      </c>
      <c r="D75" s="12" t="s">
        <v>14</v>
      </c>
      <c r="E75" s="12" t="s">
        <v>15</v>
      </c>
    </row>
    <row r="76" spans="1:7" ht="20.100000000000001" customHeight="1" x14ac:dyDescent="0.25">
      <c r="C76" s="13" t="s">
        <v>16</v>
      </c>
      <c r="D76" s="9">
        <v>0</v>
      </c>
      <c r="E76" s="14"/>
    </row>
    <row r="77" spans="1:7" ht="20.100000000000001" customHeight="1" x14ac:dyDescent="0.25">
      <c r="C77" s="13" t="s">
        <v>17</v>
      </c>
      <c r="D77" s="9">
        <f>F69+F70</f>
        <v>10000000</v>
      </c>
      <c r="E77" s="14">
        <f>SUM(E69:E70)</f>
        <v>35</v>
      </c>
    </row>
    <row r="78" spans="1:7" ht="20.100000000000001" customHeight="1" x14ac:dyDescent="0.25">
      <c r="C78" s="13" t="s">
        <v>18</v>
      </c>
      <c r="D78" s="9">
        <v>0</v>
      </c>
      <c r="E78" s="14"/>
    </row>
    <row r="79" spans="1:7" ht="20.100000000000001" customHeight="1" x14ac:dyDescent="0.25">
      <c r="C79" s="13" t="s">
        <v>19</v>
      </c>
      <c r="D79" s="9">
        <v>0</v>
      </c>
      <c r="E79" s="14"/>
    </row>
    <row r="80" spans="1:7" ht="20.100000000000001" customHeight="1" x14ac:dyDescent="0.25">
      <c r="C80" s="13" t="s">
        <v>20</v>
      </c>
      <c r="D80" s="9">
        <v>0</v>
      </c>
      <c r="E80" s="14"/>
    </row>
    <row r="81" spans="1:7" ht="20.100000000000001" customHeight="1" x14ac:dyDescent="0.25">
      <c r="C81" s="8"/>
      <c r="D81" s="11">
        <f>SUM(D76:D80)</f>
        <v>10000000</v>
      </c>
      <c r="E81" s="6">
        <f>SUM(E76:E80)</f>
        <v>35</v>
      </c>
    </row>
    <row r="83" spans="1:7" ht="20.100000000000001" customHeight="1" x14ac:dyDescent="0.25">
      <c r="A83" s="37" t="s">
        <v>0</v>
      </c>
      <c r="B83" s="37"/>
      <c r="C83" s="37"/>
      <c r="D83" s="37"/>
      <c r="E83" s="37"/>
      <c r="F83" s="37"/>
      <c r="G83" s="37"/>
    </row>
    <row r="84" spans="1:7" ht="20.100000000000001" customHeight="1" x14ac:dyDescent="0.25">
      <c r="A84" s="37" t="s">
        <v>1</v>
      </c>
      <c r="B84" s="37"/>
      <c r="C84" s="37"/>
      <c r="D84" s="37"/>
      <c r="E84" s="37"/>
      <c r="F84" s="37"/>
      <c r="G84" s="37"/>
    </row>
    <row r="85" spans="1:7" ht="20.100000000000001" customHeight="1" x14ac:dyDescent="0.25">
      <c r="A85" s="38" t="s">
        <v>30</v>
      </c>
      <c r="B85" s="38"/>
      <c r="C85" s="38"/>
      <c r="D85" s="2"/>
      <c r="E85" s="2"/>
      <c r="F85" s="2"/>
      <c r="G85" s="3" t="s">
        <v>3</v>
      </c>
    </row>
    <row r="86" spans="1:7" ht="30" customHeight="1" x14ac:dyDescent="0.25">
      <c r="A86" s="4" t="s">
        <v>4</v>
      </c>
      <c r="B86" s="4" t="s">
        <v>5</v>
      </c>
      <c r="C86" s="4" t="s">
        <v>6</v>
      </c>
      <c r="D86" s="4" t="s">
        <v>7</v>
      </c>
      <c r="E86" s="5" t="s">
        <v>8</v>
      </c>
      <c r="F86" s="4" t="s">
        <v>9</v>
      </c>
      <c r="G86" s="4" t="s">
        <v>10</v>
      </c>
    </row>
    <row r="87" spans="1:7" ht="20.100000000000001" customHeight="1" x14ac:dyDescent="0.25">
      <c r="A87" s="6">
        <v>1</v>
      </c>
      <c r="B87" s="10"/>
      <c r="C87" s="8"/>
      <c r="D87" s="8"/>
      <c r="E87" s="6"/>
      <c r="F87" s="9"/>
      <c r="G87" s="8"/>
    </row>
    <row r="88" spans="1:7" ht="20.100000000000001" customHeight="1" x14ac:dyDescent="0.25">
      <c r="A88" s="6">
        <v>2</v>
      </c>
      <c r="B88" s="10"/>
      <c r="C88" s="8"/>
      <c r="D88" s="8"/>
      <c r="E88" s="6"/>
      <c r="F88" s="9"/>
      <c r="G88" s="8"/>
    </row>
    <row r="89" spans="1:7" ht="20.100000000000001" customHeight="1" x14ac:dyDescent="0.25">
      <c r="A89" s="6">
        <v>3</v>
      </c>
      <c r="B89" s="10"/>
      <c r="C89" s="8"/>
      <c r="D89" s="8"/>
      <c r="E89" s="6"/>
      <c r="F89" s="9"/>
      <c r="G89" s="8"/>
    </row>
    <row r="90" spans="1:7" ht="20.100000000000001" customHeight="1" x14ac:dyDescent="0.25">
      <c r="A90" s="6">
        <v>4</v>
      </c>
      <c r="B90" s="10"/>
      <c r="C90" s="8"/>
      <c r="D90" s="8"/>
      <c r="E90" s="6"/>
      <c r="F90" s="9"/>
      <c r="G90" s="8"/>
    </row>
    <row r="91" spans="1:7" ht="20.100000000000001" customHeight="1" x14ac:dyDescent="0.25">
      <c r="A91" s="6">
        <v>5</v>
      </c>
      <c r="B91" s="10"/>
      <c r="C91" s="8"/>
      <c r="D91" s="8"/>
      <c r="E91" s="6"/>
      <c r="F91" s="9"/>
      <c r="G91" s="8"/>
    </row>
    <row r="92" spans="1:7" ht="20.100000000000001" customHeight="1" x14ac:dyDescent="0.25">
      <c r="E92" s="6">
        <f>SUM(E87:E91)</f>
        <v>0</v>
      </c>
      <c r="F92" s="11">
        <f>SUM(F87:F91)</f>
        <v>0</v>
      </c>
    </row>
    <row r="93" spans="1:7" ht="20.100000000000001" customHeight="1" x14ac:dyDescent="0.25">
      <c r="B93" s="1" t="s">
        <v>10</v>
      </c>
      <c r="C93" s="12" t="s">
        <v>13</v>
      </c>
      <c r="D93" s="12" t="s">
        <v>14</v>
      </c>
      <c r="E93" s="12" t="s">
        <v>15</v>
      </c>
    </row>
    <row r="94" spans="1:7" ht="20.100000000000001" customHeight="1" x14ac:dyDescent="0.25">
      <c r="C94" s="13" t="s">
        <v>16</v>
      </c>
      <c r="D94" s="9">
        <v>0</v>
      </c>
      <c r="E94" s="14"/>
    </row>
    <row r="95" spans="1:7" ht="20.100000000000001" customHeight="1" x14ac:dyDescent="0.25">
      <c r="C95" s="13" t="s">
        <v>17</v>
      </c>
      <c r="D95" s="9">
        <v>0</v>
      </c>
      <c r="E95" s="14"/>
    </row>
    <row r="96" spans="1:7" ht="20.100000000000001" customHeight="1" x14ac:dyDescent="0.25">
      <c r="C96" s="13" t="s">
        <v>18</v>
      </c>
      <c r="D96" s="9">
        <v>0</v>
      </c>
      <c r="E96" s="14"/>
    </row>
    <row r="97" spans="1:7" ht="20.100000000000001" customHeight="1" x14ac:dyDescent="0.25">
      <c r="C97" s="13" t="s">
        <v>19</v>
      </c>
      <c r="D97" s="9">
        <v>0</v>
      </c>
      <c r="E97" s="14"/>
    </row>
    <row r="98" spans="1:7" ht="20.100000000000001" customHeight="1" x14ac:dyDescent="0.25">
      <c r="C98" s="13" t="s">
        <v>20</v>
      </c>
      <c r="D98" s="9">
        <v>0</v>
      </c>
      <c r="E98" s="14"/>
    </row>
    <row r="99" spans="1:7" ht="20.100000000000001" customHeight="1" x14ac:dyDescent="0.25">
      <c r="C99" s="8"/>
      <c r="D99" s="11">
        <f>SUM(D94:D98)</f>
        <v>0</v>
      </c>
      <c r="E99" s="6">
        <f>SUM(E94:E98)</f>
        <v>0</v>
      </c>
    </row>
    <row r="101" spans="1:7" ht="20.100000000000001" customHeight="1" x14ac:dyDescent="0.25">
      <c r="A101" s="37" t="s">
        <v>0</v>
      </c>
      <c r="B101" s="37"/>
      <c r="C101" s="37"/>
      <c r="D101" s="37"/>
      <c r="E101" s="37"/>
      <c r="F101" s="37"/>
      <c r="G101" s="37"/>
    </row>
    <row r="102" spans="1:7" ht="20.100000000000001" customHeight="1" x14ac:dyDescent="0.25">
      <c r="A102" s="37" t="s">
        <v>1</v>
      </c>
      <c r="B102" s="37"/>
      <c r="C102" s="37"/>
      <c r="D102" s="37"/>
      <c r="E102" s="37"/>
      <c r="F102" s="37"/>
      <c r="G102" s="37"/>
    </row>
    <row r="103" spans="1:7" ht="20.100000000000001" customHeight="1" x14ac:dyDescent="0.25">
      <c r="A103" s="38" t="s">
        <v>31</v>
      </c>
      <c r="B103" s="38"/>
      <c r="C103" s="38"/>
      <c r="D103" s="2"/>
      <c r="E103" s="2"/>
      <c r="F103" s="2"/>
      <c r="G103" s="3" t="s">
        <v>3</v>
      </c>
    </row>
    <row r="104" spans="1:7" ht="30" customHeight="1" x14ac:dyDescent="0.25">
      <c r="A104" s="4" t="s">
        <v>4</v>
      </c>
      <c r="B104" s="4" t="s">
        <v>5</v>
      </c>
      <c r="C104" s="4" t="s">
        <v>6</v>
      </c>
      <c r="D104" s="4" t="s">
        <v>7</v>
      </c>
      <c r="E104" s="5" t="s">
        <v>8</v>
      </c>
      <c r="F104" s="4" t="s">
        <v>9</v>
      </c>
      <c r="G104" s="4" t="s">
        <v>10</v>
      </c>
    </row>
    <row r="105" spans="1:7" ht="20.100000000000001" customHeight="1" x14ac:dyDescent="0.25">
      <c r="A105" s="6">
        <v>1</v>
      </c>
      <c r="B105" s="6" t="s">
        <v>32</v>
      </c>
      <c r="C105" s="8" t="s">
        <v>33</v>
      </c>
      <c r="D105" s="8" t="s">
        <v>34</v>
      </c>
      <c r="E105" s="6">
        <v>1576</v>
      </c>
      <c r="F105" s="9">
        <v>5000000</v>
      </c>
      <c r="G105" s="8" t="s">
        <v>27</v>
      </c>
    </row>
    <row r="106" spans="1:7" ht="20.100000000000001" customHeight="1" x14ac:dyDescent="0.25">
      <c r="A106" s="6">
        <v>2</v>
      </c>
      <c r="B106" s="23">
        <v>45832</v>
      </c>
      <c r="C106" s="8" t="s">
        <v>33</v>
      </c>
      <c r="D106" s="8" t="s">
        <v>35</v>
      </c>
      <c r="E106" s="6">
        <v>32</v>
      </c>
      <c r="F106" s="9">
        <v>5000000</v>
      </c>
      <c r="G106" s="8" t="s">
        <v>36</v>
      </c>
    </row>
    <row r="107" spans="1:7" ht="20.100000000000001" customHeight="1" x14ac:dyDescent="0.25">
      <c r="A107" s="6">
        <v>3</v>
      </c>
      <c r="B107" s="23">
        <v>45836</v>
      </c>
      <c r="C107" s="8" t="s">
        <v>11</v>
      </c>
      <c r="D107" s="8" t="s">
        <v>37</v>
      </c>
      <c r="E107" s="6">
        <v>20</v>
      </c>
      <c r="F107" s="9">
        <v>5000000</v>
      </c>
      <c r="G107" s="8"/>
    </row>
    <row r="108" spans="1:7" ht="20.100000000000001" customHeight="1" x14ac:dyDescent="0.25">
      <c r="A108" s="6">
        <v>4</v>
      </c>
      <c r="B108" s="23">
        <v>45838</v>
      </c>
      <c r="C108" s="8" t="s">
        <v>11</v>
      </c>
      <c r="D108" s="8" t="s">
        <v>38</v>
      </c>
      <c r="E108" s="6">
        <v>100</v>
      </c>
      <c r="F108" s="9">
        <v>5000000</v>
      </c>
      <c r="G108" s="8" t="s">
        <v>39</v>
      </c>
    </row>
    <row r="109" spans="1:7" ht="20.100000000000001" customHeight="1" x14ac:dyDescent="0.25">
      <c r="A109" s="6">
        <v>5</v>
      </c>
      <c r="B109" s="23">
        <v>45777</v>
      </c>
      <c r="C109" s="8" t="s">
        <v>25</v>
      </c>
      <c r="D109" s="8" t="s">
        <v>40</v>
      </c>
      <c r="E109" s="6">
        <v>34</v>
      </c>
      <c r="F109" s="9">
        <v>5000000</v>
      </c>
      <c r="G109" s="8" t="s">
        <v>27</v>
      </c>
    </row>
    <row r="110" spans="1:7" ht="20.100000000000001" customHeight="1" x14ac:dyDescent="0.25">
      <c r="E110" s="6">
        <f>SUM(E105:E109)</f>
        <v>1762</v>
      </c>
      <c r="F110" s="11">
        <f>SUM(F105:F109)</f>
        <v>25000000</v>
      </c>
    </row>
    <row r="111" spans="1:7" ht="20.100000000000001" customHeight="1" x14ac:dyDescent="0.25">
      <c r="B111" s="1" t="s">
        <v>10</v>
      </c>
      <c r="C111" s="12" t="s">
        <v>13</v>
      </c>
      <c r="D111" s="12" t="s">
        <v>14</v>
      </c>
      <c r="E111" s="12" t="s">
        <v>15</v>
      </c>
    </row>
    <row r="112" spans="1:7" ht="20.100000000000001" customHeight="1" x14ac:dyDescent="0.25">
      <c r="C112" s="13" t="s">
        <v>16</v>
      </c>
      <c r="D112" s="9">
        <f>F107+F108</f>
        <v>10000000</v>
      </c>
      <c r="E112" s="14">
        <f>E108+E107</f>
        <v>120</v>
      </c>
    </row>
    <row r="113" spans="3:5" ht="20.100000000000001" customHeight="1" x14ac:dyDescent="0.25">
      <c r="C113" s="13" t="s">
        <v>17</v>
      </c>
      <c r="D113" s="9">
        <f>F109</f>
        <v>5000000</v>
      </c>
      <c r="E113" s="14">
        <f>E109</f>
        <v>34</v>
      </c>
    </row>
    <row r="114" spans="3:5" ht="20.100000000000001" customHeight="1" x14ac:dyDescent="0.25">
      <c r="C114" s="13" t="s">
        <v>18</v>
      </c>
      <c r="D114" s="9">
        <v>0</v>
      </c>
      <c r="E114" s="14"/>
    </row>
    <row r="115" spans="3:5" ht="20.100000000000001" customHeight="1" x14ac:dyDescent="0.25">
      <c r="C115" s="13" t="s">
        <v>19</v>
      </c>
      <c r="D115" s="9">
        <v>0</v>
      </c>
      <c r="E115" s="14"/>
    </row>
    <row r="116" spans="3:5" ht="20.100000000000001" customHeight="1" x14ac:dyDescent="0.25">
      <c r="C116" s="13" t="s">
        <v>20</v>
      </c>
      <c r="D116" s="9">
        <f>F106+F105</f>
        <v>10000000</v>
      </c>
      <c r="E116" s="14">
        <f>E105+E106</f>
        <v>1608</v>
      </c>
    </row>
    <row r="117" spans="3:5" ht="20.100000000000001" customHeight="1" x14ac:dyDescent="0.25">
      <c r="C117" s="8"/>
      <c r="D117" s="11">
        <f>SUM(D112:D116)</f>
        <v>25000000</v>
      </c>
      <c r="E117" s="6">
        <f>SUM(E112:E116)</f>
        <v>1762</v>
      </c>
    </row>
    <row r="120" spans="3:5" ht="20.100000000000001" customHeight="1" x14ac:dyDescent="0.25">
      <c r="C120" s="35" t="s">
        <v>41</v>
      </c>
      <c r="D120" s="35"/>
      <c r="E120" s="35"/>
    </row>
    <row r="121" spans="3:5" ht="20.100000000000001" customHeight="1" x14ac:dyDescent="0.25">
      <c r="C121" s="15" t="s">
        <v>13</v>
      </c>
      <c r="D121" s="15" t="s">
        <v>14</v>
      </c>
      <c r="E121" s="16" t="s">
        <v>15</v>
      </c>
    </row>
    <row r="122" spans="3:5" ht="20.100000000000001" customHeight="1" x14ac:dyDescent="0.25">
      <c r="C122" s="17" t="s">
        <v>16</v>
      </c>
      <c r="D122" s="18">
        <f t="shared" ref="D122:E126" si="0">D76+D94+D112</f>
        <v>10000000</v>
      </c>
      <c r="E122" s="19">
        <f t="shared" si="0"/>
        <v>120</v>
      </c>
    </row>
    <row r="123" spans="3:5" ht="20.100000000000001" customHeight="1" x14ac:dyDescent="0.25">
      <c r="C123" s="17" t="s">
        <v>17</v>
      </c>
      <c r="D123" s="18">
        <f t="shared" si="0"/>
        <v>15000000</v>
      </c>
      <c r="E123" s="19">
        <f t="shared" si="0"/>
        <v>69</v>
      </c>
    </row>
    <row r="124" spans="3:5" ht="20.100000000000001" customHeight="1" x14ac:dyDescent="0.25">
      <c r="C124" s="17" t="s">
        <v>18</v>
      </c>
      <c r="D124" s="18">
        <f t="shared" si="0"/>
        <v>0</v>
      </c>
      <c r="E124" s="19">
        <f t="shared" si="0"/>
        <v>0</v>
      </c>
    </row>
    <row r="125" spans="3:5" ht="20.100000000000001" customHeight="1" x14ac:dyDescent="0.25">
      <c r="C125" s="17" t="s">
        <v>19</v>
      </c>
      <c r="D125" s="18">
        <f t="shared" si="0"/>
        <v>0</v>
      </c>
      <c r="E125" s="19">
        <f t="shared" si="0"/>
        <v>0</v>
      </c>
    </row>
    <row r="126" spans="3:5" ht="20.100000000000001" customHeight="1" x14ac:dyDescent="0.25">
      <c r="C126" s="17" t="s">
        <v>20</v>
      </c>
      <c r="D126" s="18">
        <f t="shared" si="0"/>
        <v>10000000</v>
      </c>
      <c r="E126" s="19">
        <f t="shared" si="0"/>
        <v>1608</v>
      </c>
    </row>
    <row r="127" spans="3:5" ht="20.100000000000001" customHeight="1" x14ac:dyDescent="0.25">
      <c r="C127" s="20"/>
      <c r="D127" s="21">
        <f>SUM(D122:D126)</f>
        <v>35000000</v>
      </c>
      <c r="E127" s="19">
        <f>SUM(E122:E126)</f>
        <v>1797</v>
      </c>
    </row>
    <row r="129" spans="1:7" ht="20.100000000000001" customHeight="1" x14ac:dyDescent="0.25">
      <c r="C129" s="34" t="s">
        <v>42</v>
      </c>
      <c r="D129" s="34"/>
      <c r="E129" s="34"/>
    </row>
    <row r="130" spans="1:7" ht="20.100000000000001" customHeight="1" x14ac:dyDescent="0.25">
      <c r="C130" s="35" t="s">
        <v>43</v>
      </c>
      <c r="D130" s="35"/>
      <c r="E130" s="35"/>
    </row>
    <row r="131" spans="1:7" ht="20.100000000000001" customHeight="1" x14ac:dyDescent="0.25">
      <c r="C131" s="15" t="s">
        <v>13</v>
      </c>
      <c r="D131" s="15" t="s">
        <v>14</v>
      </c>
      <c r="E131" s="16" t="s">
        <v>15</v>
      </c>
    </row>
    <row r="132" spans="1:7" ht="20.100000000000001" customHeight="1" x14ac:dyDescent="0.25">
      <c r="C132" s="17" t="s">
        <v>16</v>
      </c>
      <c r="D132" s="18">
        <f>D12+D30+D48+D76+D94+D112</f>
        <v>15000000</v>
      </c>
      <c r="E132" s="19">
        <f>E12+E30+E48+E76+E94+E112</f>
        <v>130</v>
      </c>
    </row>
    <row r="133" spans="1:7" ht="20.100000000000001" customHeight="1" x14ac:dyDescent="0.25">
      <c r="C133" s="17" t="s">
        <v>17</v>
      </c>
      <c r="D133" s="18">
        <f t="shared" ref="D133:E136" si="1">D13+D31+D49+D77+D95+D113</f>
        <v>15000000</v>
      </c>
      <c r="E133" s="19">
        <f t="shared" si="1"/>
        <v>69</v>
      </c>
    </row>
    <row r="134" spans="1:7" ht="20.100000000000001" customHeight="1" x14ac:dyDescent="0.25">
      <c r="C134" s="17" t="s">
        <v>18</v>
      </c>
      <c r="D134" s="18">
        <f t="shared" si="1"/>
        <v>0</v>
      </c>
      <c r="E134" s="19">
        <f t="shared" si="1"/>
        <v>0</v>
      </c>
    </row>
    <row r="135" spans="1:7" ht="20.100000000000001" customHeight="1" x14ac:dyDescent="0.25">
      <c r="C135" s="17" t="s">
        <v>19</v>
      </c>
      <c r="D135" s="18">
        <f t="shared" si="1"/>
        <v>0</v>
      </c>
      <c r="E135" s="19">
        <f t="shared" si="1"/>
        <v>0</v>
      </c>
    </row>
    <row r="136" spans="1:7" ht="20.100000000000001" customHeight="1" x14ac:dyDescent="0.25">
      <c r="C136" s="17" t="s">
        <v>20</v>
      </c>
      <c r="D136" s="18">
        <f t="shared" si="1"/>
        <v>10000000</v>
      </c>
      <c r="E136" s="19">
        <f t="shared" si="1"/>
        <v>1608</v>
      </c>
    </row>
    <row r="137" spans="1:7" ht="20.100000000000001" customHeight="1" x14ac:dyDescent="0.25">
      <c r="C137" s="20"/>
      <c r="D137" s="21">
        <f>SUM(D132:D136)</f>
        <v>40000000</v>
      </c>
      <c r="E137" s="19">
        <f>SUM(E132:E136)</f>
        <v>1807</v>
      </c>
    </row>
    <row r="140" spans="1:7" ht="20.100000000000001" customHeight="1" x14ac:dyDescent="0.25">
      <c r="A140" s="37" t="s">
        <v>0</v>
      </c>
      <c r="B140" s="37"/>
      <c r="C140" s="37"/>
      <c r="D140" s="37"/>
      <c r="E140" s="37"/>
      <c r="F140" s="37"/>
      <c r="G140" s="37"/>
    </row>
    <row r="141" spans="1:7" ht="20.100000000000001" customHeight="1" x14ac:dyDescent="0.25">
      <c r="A141" s="37" t="s">
        <v>1</v>
      </c>
      <c r="B141" s="37"/>
      <c r="C141" s="37"/>
      <c r="D141" s="37"/>
      <c r="E141" s="37"/>
      <c r="F141" s="37"/>
      <c r="G141" s="37"/>
    </row>
    <row r="142" spans="1:7" ht="20.100000000000001" customHeight="1" x14ac:dyDescent="0.25">
      <c r="A142" s="38" t="s">
        <v>44</v>
      </c>
      <c r="B142" s="38"/>
      <c r="C142" s="38"/>
      <c r="D142" s="2"/>
      <c r="E142" s="2"/>
      <c r="F142" s="2"/>
      <c r="G142" s="3" t="s">
        <v>3</v>
      </c>
    </row>
    <row r="143" spans="1:7" ht="30" customHeight="1" x14ac:dyDescent="0.25">
      <c r="A143" s="4" t="s">
        <v>4</v>
      </c>
      <c r="B143" s="4" t="s">
        <v>5</v>
      </c>
      <c r="C143" s="4" t="s">
        <v>6</v>
      </c>
      <c r="D143" s="4" t="s">
        <v>7</v>
      </c>
      <c r="E143" s="5" t="s">
        <v>8</v>
      </c>
      <c r="F143" s="4" t="s">
        <v>9</v>
      </c>
      <c r="G143" s="4" t="s">
        <v>10</v>
      </c>
    </row>
    <row r="144" spans="1:7" ht="20.100000000000001" customHeight="1" x14ac:dyDescent="0.25">
      <c r="A144" s="6">
        <v>1</v>
      </c>
      <c r="B144" s="23">
        <v>45839</v>
      </c>
      <c r="C144" s="8" t="s">
        <v>33</v>
      </c>
      <c r="D144" s="8" t="s">
        <v>45</v>
      </c>
      <c r="E144" s="6">
        <v>50</v>
      </c>
      <c r="F144" s="9">
        <v>5000000</v>
      </c>
      <c r="G144" s="8" t="s">
        <v>46</v>
      </c>
    </row>
    <row r="145" spans="1:7" ht="20.100000000000001" customHeight="1" x14ac:dyDescent="0.25">
      <c r="A145" s="6">
        <v>2</v>
      </c>
      <c r="B145" s="23">
        <v>45846</v>
      </c>
      <c r="C145" s="8" t="s">
        <v>33</v>
      </c>
      <c r="D145" s="8" t="s">
        <v>47</v>
      </c>
      <c r="E145" s="6">
        <v>74</v>
      </c>
      <c r="F145" s="9">
        <v>5000000</v>
      </c>
      <c r="G145" s="8" t="s">
        <v>48</v>
      </c>
    </row>
    <row r="146" spans="1:7" ht="20.100000000000001" customHeight="1" x14ac:dyDescent="0.25">
      <c r="A146" s="6">
        <v>3</v>
      </c>
      <c r="B146" s="23">
        <v>45859</v>
      </c>
      <c r="C146" s="8" t="s">
        <v>25</v>
      </c>
      <c r="D146" s="24" t="s">
        <v>49</v>
      </c>
      <c r="E146" s="6">
        <v>1</v>
      </c>
      <c r="F146" s="9">
        <v>5000000</v>
      </c>
      <c r="G146" s="8" t="s">
        <v>29</v>
      </c>
    </row>
    <row r="147" spans="1:7" ht="20.100000000000001" customHeight="1" x14ac:dyDescent="0.25">
      <c r="A147" s="6">
        <v>4</v>
      </c>
      <c r="B147" s="23">
        <v>45867</v>
      </c>
      <c r="C147" s="8" t="s">
        <v>50</v>
      </c>
      <c r="D147" s="8" t="s">
        <v>51</v>
      </c>
      <c r="E147" s="6">
        <v>4</v>
      </c>
      <c r="F147" s="9">
        <v>5000000</v>
      </c>
      <c r="G147" s="8" t="s">
        <v>52</v>
      </c>
    </row>
    <row r="148" spans="1:7" ht="20.100000000000001" customHeight="1" x14ac:dyDescent="0.25">
      <c r="A148" s="6">
        <v>5</v>
      </c>
      <c r="B148" s="23">
        <v>45862</v>
      </c>
      <c r="C148" s="8" t="s">
        <v>53</v>
      </c>
      <c r="D148" s="24" t="s">
        <v>54</v>
      </c>
      <c r="E148" s="6">
        <v>50</v>
      </c>
      <c r="F148" s="9">
        <v>5000000</v>
      </c>
      <c r="G148" s="8" t="s">
        <v>55</v>
      </c>
    </row>
    <row r="149" spans="1:7" ht="20.100000000000001" customHeight="1" x14ac:dyDescent="0.25">
      <c r="B149" s="25"/>
      <c r="E149" s="6">
        <f>SUM(E144:E148)</f>
        <v>179</v>
      </c>
      <c r="F149" s="11">
        <f>SUM(F144:F148)</f>
        <v>25000000</v>
      </c>
    </row>
    <row r="150" spans="1:7" ht="20.100000000000001" customHeight="1" x14ac:dyDescent="0.25">
      <c r="B150" s="1" t="s">
        <v>10</v>
      </c>
      <c r="C150" s="12" t="s">
        <v>13</v>
      </c>
      <c r="D150" s="12" t="s">
        <v>14</v>
      </c>
      <c r="E150" s="12" t="s">
        <v>15</v>
      </c>
    </row>
    <row r="151" spans="1:7" ht="20.100000000000001" customHeight="1" x14ac:dyDescent="0.25">
      <c r="C151" s="13" t="s">
        <v>16</v>
      </c>
      <c r="D151" s="9">
        <v>0</v>
      </c>
      <c r="E151" s="14"/>
    </row>
    <row r="152" spans="1:7" ht="20.100000000000001" customHeight="1" x14ac:dyDescent="0.25">
      <c r="C152" s="13" t="s">
        <v>17</v>
      </c>
      <c r="D152" s="9">
        <f>F146</f>
        <v>5000000</v>
      </c>
      <c r="E152" s="14">
        <f>E146</f>
        <v>1</v>
      </c>
    </row>
    <row r="153" spans="1:7" ht="20.100000000000001" customHeight="1" x14ac:dyDescent="0.25">
      <c r="C153" s="13" t="s">
        <v>18</v>
      </c>
      <c r="D153" s="9">
        <f>F147</f>
        <v>5000000</v>
      </c>
      <c r="E153" s="14">
        <f>E147</f>
        <v>4</v>
      </c>
    </row>
    <row r="154" spans="1:7" ht="20.100000000000001" customHeight="1" x14ac:dyDescent="0.25">
      <c r="C154" s="13" t="s">
        <v>19</v>
      </c>
      <c r="D154" s="9">
        <f>F148</f>
        <v>5000000</v>
      </c>
      <c r="E154" s="14">
        <f>E148</f>
        <v>50</v>
      </c>
    </row>
    <row r="155" spans="1:7" ht="20.100000000000001" customHeight="1" x14ac:dyDescent="0.25">
      <c r="C155" s="13" t="s">
        <v>20</v>
      </c>
      <c r="D155" s="9">
        <f>F144+F145</f>
        <v>10000000</v>
      </c>
      <c r="E155" s="14">
        <f>E144+E145</f>
        <v>124</v>
      </c>
    </row>
    <row r="156" spans="1:7" ht="20.100000000000001" customHeight="1" x14ac:dyDescent="0.25">
      <c r="C156" s="8"/>
      <c r="D156" s="11">
        <f>SUM(D151:D155)</f>
        <v>25000000</v>
      </c>
      <c r="E156" s="6">
        <f>SUM(E151:E155)</f>
        <v>179</v>
      </c>
    </row>
    <row r="158" spans="1:7" ht="20.100000000000001" customHeight="1" x14ac:dyDescent="0.25">
      <c r="A158" s="37" t="s">
        <v>0</v>
      </c>
      <c r="B158" s="37"/>
      <c r="C158" s="37"/>
      <c r="D158" s="37"/>
      <c r="E158" s="37"/>
      <c r="F158" s="37"/>
      <c r="G158" s="37"/>
    </row>
    <row r="159" spans="1:7" ht="20.100000000000001" customHeight="1" x14ac:dyDescent="0.25">
      <c r="A159" s="37" t="s">
        <v>1</v>
      </c>
      <c r="B159" s="37"/>
      <c r="C159" s="37"/>
      <c r="D159" s="37"/>
      <c r="E159" s="37"/>
      <c r="F159" s="37"/>
      <c r="G159" s="37"/>
    </row>
    <row r="160" spans="1:7" ht="20.100000000000001" customHeight="1" x14ac:dyDescent="0.25">
      <c r="A160" s="38" t="s">
        <v>56</v>
      </c>
      <c r="B160" s="38"/>
      <c r="C160" s="38"/>
      <c r="D160" s="2"/>
      <c r="E160" s="2"/>
      <c r="F160" s="2"/>
      <c r="G160" s="3" t="s">
        <v>3</v>
      </c>
    </row>
    <row r="161" spans="1:7" ht="30" customHeight="1" x14ac:dyDescent="0.25">
      <c r="A161" s="4" t="s">
        <v>4</v>
      </c>
      <c r="B161" s="4" t="s">
        <v>5</v>
      </c>
      <c r="C161" s="4" t="s">
        <v>6</v>
      </c>
      <c r="D161" s="4" t="s">
        <v>7</v>
      </c>
      <c r="E161" s="5" t="s">
        <v>8</v>
      </c>
      <c r="F161" s="4" t="s">
        <v>9</v>
      </c>
      <c r="G161" s="4" t="s">
        <v>10</v>
      </c>
    </row>
    <row r="162" spans="1:7" ht="20.100000000000001" customHeight="1" x14ac:dyDescent="0.25">
      <c r="A162" s="6">
        <v>1</v>
      </c>
      <c r="B162" s="23">
        <v>45877</v>
      </c>
      <c r="C162" s="8" t="s">
        <v>11</v>
      </c>
      <c r="D162" s="24" t="s">
        <v>57</v>
      </c>
      <c r="E162" s="6">
        <v>1</v>
      </c>
      <c r="F162" s="9">
        <v>5000000</v>
      </c>
      <c r="G162" s="8" t="s">
        <v>58</v>
      </c>
    </row>
    <row r="163" spans="1:7" ht="20.100000000000001" customHeight="1" x14ac:dyDescent="0.25">
      <c r="A163" s="26">
        <v>2</v>
      </c>
      <c r="B163" s="23">
        <v>45896</v>
      </c>
      <c r="C163" s="8" t="s">
        <v>25</v>
      </c>
      <c r="D163" s="27" t="s">
        <v>59</v>
      </c>
      <c r="E163" s="6">
        <v>1</v>
      </c>
      <c r="F163" s="9">
        <v>5000000</v>
      </c>
      <c r="G163" s="8" t="s">
        <v>60</v>
      </c>
    </row>
    <row r="164" spans="1:7" ht="20.100000000000001" customHeight="1" x14ac:dyDescent="0.25">
      <c r="A164" s="26">
        <v>3</v>
      </c>
      <c r="B164" s="23"/>
      <c r="C164" s="8"/>
      <c r="D164" s="24"/>
      <c r="E164" s="6"/>
      <c r="F164" s="9"/>
      <c r="G164" s="8"/>
    </row>
    <row r="165" spans="1:7" ht="20.100000000000001" customHeight="1" x14ac:dyDescent="0.25">
      <c r="A165" s="6">
        <v>4</v>
      </c>
      <c r="B165" s="10"/>
      <c r="C165" s="8"/>
      <c r="D165" s="6"/>
      <c r="E165" s="6"/>
      <c r="F165" s="9"/>
      <c r="G165" s="8"/>
    </row>
    <row r="166" spans="1:7" ht="20.100000000000001" customHeight="1" x14ac:dyDescent="0.25">
      <c r="A166" s="6">
        <v>5</v>
      </c>
      <c r="B166" s="10"/>
      <c r="C166" s="8"/>
      <c r="D166" s="8"/>
      <c r="E166" s="6"/>
      <c r="F166" s="9"/>
      <c r="G166" s="8"/>
    </row>
    <row r="167" spans="1:7" ht="20.100000000000001" customHeight="1" x14ac:dyDescent="0.25">
      <c r="E167" s="6">
        <f>SUM(E162:E166)</f>
        <v>2</v>
      </c>
      <c r="F167" s="11">
        <f>SUM(F162:F166)</f>
        <v>10000000</v>
      </c>
    </row>
    <row r="168" spans="1:7" ht="20.100000000000001" customHeight="1" x14ac:dyDescent="0.25">
      <c r="B168" s="1" t="s">
        <v>10</v>
      </c>
      <c r="C168" s="12" t="s">
        <v>13</v>
      </c>
      <c r="D168" s="12" t="s">
        <v>14</v>
      </c>
      <c r="E168" s="12" t="s">
        <v>15</v>
      </c>
    </row>
    <row r="169" spans="1:7" ht="20.100000000000001" customHeight="1" x14ac:dyDescent="0.25">
      <c r="C169" s="13" t="s">
        <v>16</v>
      </c>
      <c r="D169" s="9">
        <f>F162</f>
        <v>5000000</v>
      </c>
      <c r="E169" s="14">
        <f>E162</f>
        <v>1</v>
      </c>
    </row>
    <row r="170" spans="1:7" ht="20.100000000000001" customHeight="1" x14ac:dyDescent="0.25">
      <c r="C170" s="13" t="s">
        <v>17</v>
      </c>
      <c r="D170" s="9">
        <f>F163</f>
        <v>5000000</v>
      </c>
      <c r="E170" s="14">
        <f>E163</f>
        <v>1</v>
      </c>
    </row>
    <row r="171" spans="1:7" ht="20.100000000000001" customHeight="1" x14ac:dyDescent="0.25">
      <c r="C171" s="13" t="s">
        <v>18</v>
      </c>
      <c r="D171" s="9">
        <v>0</v>
      </c>
      <c r="E171" s="14"/>
    </row>
    <row r="172" spans="1:7" ht="20.100000000000001" customHeight="1" x14ac:dyDescent="0.25">
      <c r="C172" s="13" t="s">
        <v>19</v>
      </c>
      <c r="D172" s="9">
        <v>0</v>
      </c>
      <c r="E172" s="14"/>
    </row>
    <row r="173" spans="1:7" ht="20.100000000000001" customHeight="1" x14ac:dyDescent="0.25">
      <c r="C173" s="13" t="s">
        <v>20</v>
      </c>
      <c r="D173" s="9">
        <v>0</v>
      </c>
      <c r="E173" s="14"/>
    </row>
    <row r="174" spans="1:7" ht="20.100000000000001" customHeight="1" x14ac:dyDescent="0.25">
      <c r="C174" s="8"/>
      <c r="D174" s="11">
        <f>SUM(D169:D173)</f>
        <v>10000000</v>
      </c>
      <c r="E174" s="6">
        <f>SUM(E169:E173)</f>
        <v>2</v>
      </c>
    </row>
    <row r="176" spans="1:7" ht="20.100000000000001" customHeight="1" x14ac:dyDescent="0.25">
      <c r="A176" s="37" t="s">
        <v>0</v>
      </c>
      <c r="B176" s="37"/>
      <c r="C176" s="37"/>
      <c r="D176" s="37"/>
      <c r="E176" s="37"/>
      <c r="F176" s="37"/>
      <c r="G176" s="37"/>
    </row>
    <row r="177" spans="1:7" ht="20.100000000000001" customHeight="1" x14ac:dyDescent="0.25">
      <c r="A177" s="37" t="s">
        <v>1</v>
      </c>
      <c r="B177" s="37"/>
      <c r="C177" s="37"/>
      <c r="D177" s="37"/>
      <c r="E177" s="37"/>
      <c r="F177" s="37"/>
      <c r="G177" s="37"/>
    </row>
    <row r="178" spans="1:7" ht="20.100000000000001" customHeight="1" x14ac:dyDescent="0.25">
      <c r="A178" s="38" t="s">
        <v>61</v>
      </c>
      <c r="B178" s="38"/>
      <c r="C178" s="38"/>
      <c r="D178" s="2"/>
      <c r="E178" s="2"/>
      <c r="F178" s="2"/>
      <c r="G178" s="3" t="s">
        <v>3</v>
      </c>
    </row>
    <row r="179" spans="1:7" ht="30" customHeight="1" x14ac:dyDescent="0.25">
      <c r="A179" s="4" t="s">
        <v>4</v>
      </c>
      <c r="B179" s="4" t="s">
        <v>5</v>
      </c>
      <c r="C179" s="4" t="s">
        <v>6</v>
      </c>
      <c r="D179" s="4" t="s">
        <v>7</v>
      </c>
      <c r="E179" s="5" t="s">
        <v>8</v>
      </c>
      <c r="F179" s="4" t="s">
        <v>9</v>
      </c>
      <c r="G179" s="4" t="s">
        <v>10</v>
      </c>
    </row>
    <row r="180" spans="1:7" ht="20.100000000000001" customHeight="1" x14ac:dyDescent="0.25">
      <c r="A180" s="6">
        <v>1</v>
      </c>
      <c r="B180" s="7">
        <v>45902</v>
      </c>
      <c r="C180" s="8" t="s">
        <v>50</v>
      </c>
      <c r="D180" s="8" t="s">
        <v>51</v>
      </c>
      <c r="E180" s="28">
        <v>4</v>
      </c>
      <c r="F180" s="29">
        <v>5000000</v>
      </c>
      <c r="G180" s="8" t="s">
        <v>62</v>
      </c>
    </row>
    <row r="181" spans="1:7" ht="20.100000000000001" customHeight="1" x14ac:dyDescent="0.25">
      <c r="A181" s="6">
        <v>2</v>
      </c>
      <c r="B181" s="7">
        <v>45909</v>
      </c>
      <c r="C181" s="8" t="s">
        <v>11</v>
      </c>
      <c r="D181" s="8" t="s">
        <v>63</v>
      </c>
      <c r="E181" s="28">
        <v>250</v>
      </c>
      <c r="F181" s="29">
        <v>5000000</v>
      </c>
      <c r="G181" s="8" t="s">
        <v>64</v>
      </c>
    </row>
    <row r="182" spans="1:7" ht="20.100000000000001" customHeight="1" x14ac:dyDescent="0.25">
      <c r="A182" s="6">
        <v>3</v>
      </c>
      <c r="B182" s="7">
        <v>45919</v>
      </c>
      <c r="C182" s="8" t="s">
        <v>25</v>
      </c>
      <c r="D182" s="24" t="s">
        <v>65</v>
      </c>
      <c r="E182" s="28">
        <v>41</v>
      </c>
      <c r="F182" s="29">
        <v>5000000</v>
      </c>
      <c r="G182" s="8" t="s">
        <v>27</v>
      </c>
    </row>
    <row r="183" spans="1:7" ht="20.100000000000001" customHeight="1" x14ac:dyDescent="0.25">
      <c r="A183" s="6">
        <v>4</v>
      </c>
      <c r="B183" s="7">
        <v>45929</v>
      </c>
      <c r="C183" s="8" t="s">
        <v>53</v>
      </c>
      <c r="D183" s="8" t="s">
        <v>66</v>
      </c>
      <c r="E183" s="28">
        <v>100</v>
      </c>
      <c r="F183" s="29">
        <v>5000000</v>
      </c>
      <c r="G183" s="8" t="s">
        <v>67</v>
      </c>
    </row>
    <row r="184" spans="1:7" ht="20.100000000000001" customHeight="1" x14ac:dyDescent="0.25">
      <c r="A184" s="6">
        <v>5</v>
      </c>
      <c r="B184" s="10"/>
      <c r="C184" s="8"/>
      <c r="D184" s="8"/>
      <c r="E184" s="28"/>
      <c r="F184" s="9"/>
      <c r="G184" s="8"/>
    </row>
    <row r="185" spans="1:7" ht="20.100000000000001" customHeight="1" x14ac:dyDescent="0.25">
      <c r="E185" s="28">
        <f>SUM(E180:E184)</f>
        <v>395</v>
      </c>
      <c r="F185" s="11">
        <f>SUM(F180:F184)</f>
        <v>20000000</v>
      </c>
    </row>
    <row r="186" spans="1:7" ht="20.100000000000001" customHeight="1" x14ac:dyDescent="0.25">
      <c r="B186" s="1" t="s">
        <v>10</v>
      </c>
      <c r="C186" s="12" t="s">
        <v>13</v>
      </c>
      <c r="D186" s="12" t="s">
        <v>14</v>
      </c>
      <c r="E186" s="12" t="s">
        <v>15</v>
      </c>
    </row>
    <row r="187" spans="1:7" ht="20.100000000000001" customHeight="1" x14ac:dyDescent="0.25">
      <c r="C187" s="13" t="s">
        <v>16</v>
      </c>
      <c r="D187" s="9">
        <f>F181</f>
        <v>5000000</v>
      </c>
      <c r="E187" s="28">
        <f>E181</f>
        <v>250</v>
      </c>
    </row>
    <row r="188" spans="1:7" ht="20.100000000000001" customHeight="1" x14ac:dyDescent="0.25">
      <c r="C188" s="13" t="s">
        <v>17</v>
      </c>
      <c r="D188" s="9">
        <f>F182</f>
        <v>5000000</v>
      </c>
      <c r="E188" s="28">
        <f>E182</f>
        <v>41</v>
      </c>
    </row>
    <row r="189" spans="1:7" ht="20.100000000000001" customHeight="1" x14ac:dyDescent="0.25">
      <c r="C189" s="13" t="s">
        <v>18</v>
      </c>
      <c r="D189" s="9">
        <f>F180</f>
        <v>5000000</v>
      </c>
      <c r="E189" s="28">
        <f>E180</f>
        <v>4</v>
      </c>
    </row>
    <row r="190" spans="1:7" ht="20.100000000000001" customHeight="1" x14ac:dyDescent="0.25">
      <c r="C190" s="13" t="s">
        <v>19</v>
      </c>
      <c r="D190" s="9">
        <f>F183</f>
        <v>5000000</v>
      </c>
      <c r="E190" s="28">
        <f>E183</f>
        <v>100</v>
      </c>
    </row>
    <row r="191" spans="1:7" ht="20.100000000000001" customHeight="1" x14ac:dyDescent="0.25">
      <c r="C191" s="13" t="s">
        <v>20</v>
      </c>
      <c r="D191" s="9">
        <v>0</v>
      </c>
      <c r="E191" s="28"/>
    </row>
    <row r="192" spans="1:7" ht="20.100000000000001" customHeight="1" x14ac:dyDescent="0.25">
      <c r="C192" s="8"/>
      <c r="D192" s="11">
        <f>SUM(D187:D191)</f>
        <v>20000000</v>
      </c>
      <c r="E192" s="28">
        <f>SUM(E187:E191)</f>
        <v>395</v>
      </c>
    </row>
    <row r="195" spans="1:7" ht="20.100000000000001" customHeight="1" x14ac:dyDescent="0.25">
      <c r="C195" s="35" t="s">
        <v>68</v>
      </c>
      <c r="D195" s="35"/>
      <c r="E195" s="35"/>
    </row>
    <row r="196" spans="1:7" ht="20.100000000000001" customHeight="1" x14ac:dyDescent="0.25">
      <c r="C196" s="15" t="s">
        <v>13</v>
      </c>
      <c r="D196" s="15" t="s">
        <v>14</v>
      </c>
      <c r="E196" s="16" t="s">
        <v>15</v>
      </c>
    </row>
    <row r="197" spans="1:7" ht="20.100000000000001" customHeight="1" x14ac:dyDescent="0.25">
      <c r="C197" s="17" t="s">
        <v>16</v>
      </c>
      <c r="D197" s="18">
        <f t="shared" ref="D197:E201" si="2">D151+D169+D187</f>
        <v>10000000</v>
      </c>
      <c r="E197" s="19">
        <f t="shared" si="2"/>
        <v>251</v>
      </c>
    </row>
    <row r="198" spans="1:7" ht="20.100000000000001" customHeight="1" x14ac:dyDescent="0.25">
      <c r="C198" s="17" t="s">
        <v>17</v>
      </c>
      <c r="D198" s="18">
        <f t="shared" si="2"/>
        <v>15000000</v>
      </c>
      <c r="E198" s="19">
        <f t="shared" si="2"/>
        <v>43</v>
      </c>
    </row>
    <row r="199" spans="1:7" ht="20.100000000000001" customHeight="1" x14ac:dyDescent="0.25">
      <c r="C199" s="17" t="s">
        <v>18</v>
      </c>
      <c r="D199" s="18">
        <f t="shared" si="2"/>
        <v>10000000</v>
      </c>
      <c r="E199" s="19">
        <f t="shared" si="2"/>
        <v>8</v>
      </c>
    </row>
    <row r="200" spans="1:7" ht="20.100000000000001" customHeight="1" x14ac:dyDescent="0.25">
      <c r="C200" s="17" t="s">
        <v>19</v>
      </c>
      <c r="D200" s="18">
        <f t="shared" si="2"/>
        <v>10000000</v>
      </c>
      <c r="E200" s="19">
        <f t="shared" si="2"/>
        <v>150</v>
      </c>
    </row>
    <row r="201" spans="1:7" ht="20.100000000000001" customHeight="1" x14ac:dyDescent="0.25">
      <c r="C201" s="17" t="s">
        <v>20</v>
      </c>
      <c r="D201" s="18">
        <f t="shared" si="2"/>
        <v>10000000</v>
      </c>
      <c r="E201" s="19">
        <f t="shared" si="2"/>
        <v>124</v>
      </c>
    </row>
    <row r="202" spans="1:7" ht="20.100000000000001" customHeight="1" x14ac:dyDescent="0.25">
      <c r="C202" s="20"/>
      <c r="D202" s="21">
        <f>SUM(D197:D201)</f>
        <v>55000000</v>
      </c>
      <c r="E202" s="19">
        <f>SUM(E197:E201)</f>
        <v>576</v>
      </c>
    </row>
    <row r="204" spans="1:7" ht="20.100000000000001" customHeight="1" x14ac:dyDescent="0.25">
      <c r="A204" s="37" t="s">
        <v>0</v>
      </c>
      <c r="B204" s="37"/>
      <c r="C204" s="37"/>
      <c r="D204" s="37"/>
      <c r="E204" s="37"/>
      <c r="F204" s="37"/>
      <c r="G204" s="37"/>
    </row>
    <row r="205" spans="1:7" ht="20.100000000000001" customHeight="1" x14ac:dyDescent="0.25">
      <c r="A205" s="37" t="s">
        <v>1</v>
      </c>
      <c r="B205" s="37"/>
      <c r="C205" s="37"/>
      <c r="D205" s="37"/>
      <c r="E205" s="37"/>
      <c r="F205" s="37"/>
      <c r="G205" s="37"/>
    </row>
    <row r="206" spans="1:7" ht="20.100000000000001" customHeight="1" x14ac:dyDescent="0.25">
      <c r="A206" s="38" t="s">
        <v>69</v>
      </c>
      <c r="B206" s="38"/>
      <c r="C206" s="38"/>
      <c r="D206" s="2"/>
      <c r="E206" s="2"/>
      <c r="F206" s="2"/>
      <c r="G206" s="3" t="s">
        <v>3</v>
      </c>
    </row>
    <row r="207" spans="1:7" ht="30" customHeight="1" x14ac:dyDescent="0.25">
      <c r="A207" s="4" t="s">
        <v>4</v>
      </c>
      <c r="B207" s="4" t="s">
        <v>5</v>
      </c>
      <c r="C207" s="4" t="s">
        <v>6</v>
      </c>
      <c r="D207" s="4" t="s">
        <v>7</v>
      </c>
      <c r="E207" s="5" t="s">
        <v>8</v>
      </c>
      <c r="F207" s="4" t="s">
        <v>9</v>
      </c>
      <c r="G207" s="4" t="s">
        <v>10</v>
      </c>
    </row>
    <row r="208" spans="1:7" ht="20.100000000000001" customHeight="1" x14ac:dyDescent="0.25">
      <c r="A208" s="6">
        <v>1</v>
      </c>
      <c r="B208" s="7">
        <v>45931</v>
      </c>
      <c r="C208" s="8" t="s">
        <v>11</v>
      </c>
      <c r="D208" s="24" t="s">
        <v>70</v>
      </c>
      <c r="E208" s="28">
        <v>10</v>
      </c>
      <c r="F208" s="9">
        <v>15000000</v>
      </c>
      <c r="G208" s="8"/>
    </row>
    <row r="209" spans="1:7" ht="20.100000000000001" customHeight="1" x14ac:dyDescent="0.25">
      <c r="A209" s="6">
        <v>2</v>
      </c>
      <c r="B209" s="10"/>
      <c r="C209" s="8"/>
      <c r="D209" s="8"/>
      <c r="E209" s="28"/>
      <c r="F209" s="9"/>
      <c r="G209" s="8"/>
    </row>
    <row r="210" spans="1:7" ht="20.100000000000001" customHeight="1" x14ac:dyDescent="0.25">
      <c r="A210" s="6">
        <v>3</v>
      </c>
      <c r="B210" s="10"/>
      <c r="C210" s="8"/>
      <c r="D210" s="8"/>
      <c r="E210" s="28"/>
      <c r="F210" s="9"/>
      <c r="G210" s="8"/>
    </row>
    <row r="211" spans="1:7" ht="20.100000000000001" customHeight="1" x14ac:dyDescent="0.25">
      <c r="A211" s="6">
        <v>4</v>
      </c>
      <c r="B211" s="10"/>
      <c r="C211" s="8"/>
      <c r="D211" s="8"/>
      <c r="E211" s="28"/>
      <c r="F211" s="9"/>
      <c r="G211" s="8"/>
    </row>
    <row r="212" spans="1:7" ht="20.100000000000001" customHeight="1" x14ac:dyDescent="0.25">
      <c r="A212" s="6">
        <v>5</v>
      </c>
      <c r="B212" s="10"/>
      <c r="C212" s="8"/>
      <c r="D212" s="8"/>
      <c r="E212" s="28"/>
      <c r="F212" s="9"/>
      <c r="G212" s="8"/>
    </row>
    <row r="213" spans="1:7" ht="20.100000000000001" customHeight="1" x14ac:dyDescent="0.25">
      <c r="E213" s="28">
        <f>SUM(E208:E212)</f>
        <v>10</v>
      </c>
      <c r="F213" s="11">
        <f>SUM(F208:F212)</f>
        <v>15000000</v>
      </c>
    </row>
    <row r="214" spans="1:7" ht="20.100000000000001" customHeight="1" x14ac:dyDescent="0.25">
      <c r="B214" s="1" t="s">
        <v>10</v>
      </c>
      <c r="C214" s="12" t="s">
        <v>13</v>
      </c>
      <c r="D214" s="12" t="s">
        <v>14</v>
      </c>
      <c r="E214" s="12" t="s">
        <v>15</v>
      </c>
    </row>
    <row r="215" spans="1:7" ht="20.100000000000001" customHeight="1" x14ac:dyDescent="0.25">
      <c r="C215" s="13" t="s">
        <v>16</v>
      </c>
      <c r="D215" s="9">
        <f>F208</f>
        <v>15000000</v>
      </c>
      <c r="E215" s="14">
        <f>E208</f>
        <v>10</v>
      </c>
    </row>
    <row r="216" spans="1:7" ht="20.100000000000001" customHeight="1" x14ac:dyDescent="0.25">
      <c r="C216" s="13" t="s">
        <v>17</v>
      </c>
      <c r="D216" s="9">
        <v>0</v>
      </c>
      <c r="E216" s="14"/>
    </row>
    <row r="217" spans="1:7" ht="20.100000000000001" customHeight="1" x14ac:dyDescent="0.25">
      <c r="C217" s="13" t="s">
        <v>18</v>
      </c>
      <c r="D217" s="9">
        <v>0</v>
      </c>
      <c r="E217" s="14"/>
    </row>
    <row r="218" spans="1:7" ht="20.100000000000001" customHeight="1" x14ac:dyDescent="0.25">
      <c r="C218" s="13" t="s">
        <v>19</v>
      </c>
      <c r="D218" s="9">
        <v>0</v>
      </c>
      <c r="E218" s="14"/>
    </row>
    <row r="219" spans="1:7" ht="20.100000000000001" customHeight="1" x14ac:dyDescent="0.25">
      <c r="C219" s="13" t="s">
        <v>20</v>
      </c>
      <c r="D219" s="9">
        <v>0</v>
      </c>
      <c r="E219" s="14"/>
    </row>
    <row r="220" spans="1:7" ht="20.100000000000001" customHeight="1" x14ac:dyDescent="0.25">
      <c r="C220" s="8"/>
      <c r="D220" s="11">
        <f>SUM(D215:D219)</f>
        <v>15000000</v>
      </c>
      <c r="E220" s="6">
        <f>SUM(E215:E219)</f>
        <v>10</v>
      </c>
    </row>
    <row r="222" spans="1:7" ht="20.100000000000001" customHeight="1" x14ac:dyDescent="0.25">
      <c r="A222" s="37" t="s">
        <v>0</v>
      </c>
      <c r="B222" s="37"/>
      <c r="C222" s="37"/>
      <c r="D222" s="37"/>
      <c r="E222" s="37"/>
      <c r="F222" s="37"/>
      <c r="G222" s="37"/>
    </row>
    <row r="223" spans="1:7" ht="20.100000000000001" customHeight="1" x14ac:dyDescent="0.25">
      <c r="A223" s="37" t="s">
        <v>1</v>
      </c>
      <c r="B223" s="37"/>
      <c r="C223" s="37"/>
      <c r="D223" s="37"/>
      <c r="E223" s="37"/>
      <c r="F223" s="37"/>
      <c r="G223" s="37"/>
    </row>
    <row r="224" spans="1:7" ht="20.100000000000001" customHeight="1" x14ac:dyDescent="0.25">
      <c r="A224" s="38" t="s">
        <v>71</v>
      </c>
      <c r="B224" s="38"/>
      <c r="C224" s="38"/>
      <c r="D224" s="2"/>
      <c r="E224" s="2"/>
      <c r="F224" s="2"/>
      <c r="G224" s="3" t="s">
        <v>3</v>
      </c>
    </row>
    <row r="225" spans="1:7" ht="30" customHeight="1" x14ac:dyDescent="0.25">
      <c r="A225" s="4" t="s">
        <v>4</v>
      </c>
      <c r="B225" s="4" t="s">
        <v>5</v>
      </c>
      <c r="C225" s="4" t="s">
        <v>6</v>
      </c>
      <c r="D225" s="4" t="s">
        <v>7</v>
      </c>
      <c r="E225" s="5" t="s">
        <v>8</v>
      </c>
      <c r="F225" s="4" t="s">
        <v>9</v>
      </c>
      <c r="G225" s="4" t="s">
        <v>10</v>
      </c>
    </row>
    <row r="226" spans="1:7" ht="20.100000000000001" customHeight="1" x14ac:dyDescent="0.25">
      <c r="A226" s="6">
        <v>1</v>
      </c>
      <c r="B226" s="7">
        <v>45962</v>
      </c>
      <c r="C226" s="8" t="s">
        <v>25</v>
      </c>
      <c r="D226" s="24" t="s">
        <v>72</v>
      </c>
      <c r="E226" s="28">
        <v>5000</v>
      </c>
      <c r="F226" s="9">
        <v>5000000</v>
      </c>
      <c r="G226" s="8" t="s">
        <v>73</v>
      </c>
    </row>
    <row r="227" spans="1:7" ht="20.100000000000001" customHeight="1" x14ac:dyDescent="0.25">
      <c r="A227" s="6">
        <v>2</v>
      </c>
      <c r="B227" s="23">
        <v>45986</v>
      </c>
      <c r="C227" s="8" t="s">
        <v>25</v>
      </c>
      <c r="D227" s="8" t="s">
        <v>26</v>
      </c>
      <c r="E227" s="28">
        <v>30</v>
      </c>
      <c r="F227" s="9">
        <v>5000000</v>
      </c>
      <c r="G227" s="8" t="s">
        <v>27</v>
      </c>
    </row>
    <row r="228" spans="1:7" ht="20.100000000000001" customHeight="1" x14ac:dyDescent="0.25">
      <c r="A228" s="6">
        <v>3</v>
      </c>
      <c r="B228" s="10"/>
      <c r="C228" s="8"/>
      <c r="D228" s="8"/>
      <c r="E228" s="28"/>
      <c r="F228" s="9"/>
      <c r="G228" s="8"/>
    </row>
    <row r="229" spans="1:7" ht="20.100000000000001" customHeight="1" x14ac:dyDescent="0.25">
      <c r="A229" s="6">
        <v>4</v>
      </c>
      <c r="B229" s="10"/>
      <c r="C229" s="8"/>
      <c r="D229" s="8"/>
      <c r="E229" s="28"/>
      <c r="F229" s="9"/>
      <c r="G229" s="8"/>
    </row>
    <row r="230" spans="1:7" ht="20.100000000000001" customHeight="1" x14ac:dyDescent="0.25">
      <c r="A230" s="6">
        <v>5</v>
      </c>
      <c r="B230" s="10"/>
      <c r="C230" s="8"/>
      <c r="D230" s="8"/>
      <c r="E230" s="28"/>
      <c r="F230" s="9"/>
      <c r="G230" s="8"/>
    </row>
    <row r="231" spans="1:7" ht="20.100000000000001" customHeight="1" x14ac:dyDescent="0.25">
      <c r="E231" s="28">
        <f>SUM(E226:E230)</f>
        <v>5030</v>
      </c>
      <c r="F231" s="11">
        <f>SUM(F226:F230)</f>
        <v>10000000</v>
      </c>
    </row>
    <row r="232" spans="1:7" ht="20.100000000000001" customHeight="1" x14ac:dyDescent="0.25">
      <c r="B232" s="1" t="s">
        <v>10</v>
      </c>
      <c r="C232" s="12" t="s">
        <v>13</v>
      </c>
      <c r="D232" s="12" t="s">
        <v>14</v>
      </c>
      <c r="E232" s="12" t="s">
        <v>15</v>
      </c>
    </row>
    <row r="233" spans="1:7" ht="20.100000000000001" customHeight="1" x14ac:dyDescent="0.25">
      <c r="C233" s="13" t="s">
        <v>16</v>
      </c>
      <c r="D233" s="9">
        <v>0</v>
      </c>
      <c r="E233" s="14"/>
    </row>
    <row r="234" spans="1:7" ht="20.100000000000001" customHeight="1" x14ac:dyDescent="0.25">
      <c r="C234" s="13" t="s">
        <v>17</v>
      </c>
      <c r="D234" s="9">
        <f>F226+F227</f>
        <v>10000000</v>
      </c>
      <c r="E234" s="28">
        <f>E226+E227</f>
        <v>5030</v>
      </c>
    </row>
    <row r="235" spans="1:7" ht="20.100000000000001" customHeight="1" x14ac:dyDescent="0.25">
      <c r="C235" s="13" t="s">
        <v>18</v>
      </c>
      <c r="D235" s="9">
        <v>0</v>
      </c>
      <c r="E235" s="14"/>
    </row>
    <row r="236" spans="1:7" ht="20.100000000000001" customHeight="1" x14ac:dyDescent="0.25">
      <c r="C236" s="13" t="s">
        <v>19</v>
      </c>
      <c r="D236" s="9">
        <v>0</v>
      </c>
      <c r="E236" s="14"/>
    </row>
    <row r="237" spans="1:7" ht="20.100000000000001" customHeight="1" x14ac:dyDescent="0.25">
      <c r="C237" s="13" t="s">
        <v>20</v>
      </c>
      <c r="D237" s="9">
        <v>0</v>
      </c>
      <c r="E237" s="14"/>
    </row>
    <row r="238" spans="1:7" ht="20.100000000000001" customHeight="1" x14ac:dyDescent="0.25">
      <c r="C238" s="8"/>
      <c r="D238" s="11">
        <f>SUM(D233:D237)</f>
        <v>10000000</v>
      </c>
      <c r="E238" s="28">
        <f>SUM(E233:E237)</f>
        <v>5030</v>
      </c>
    </row>
    <row r="240" spans="1:7" ht="20.100000000000001" customHeight="1" x14ac:dyDescent="0.25">
      <c r="A240" s="37" t="s">
        <v>0</v>
      </c>
      <c r="B240" s="37"/>
      <c r="C240" s="37"/>
      <c r="D240" s="37"/>
      <c r="E240" s="37"/>
      <c r="F240" s="37"/>
      <c r="G240" s="37"/>
    </row>
    <row r="241" spans="1:7" ht="20.100000000000001" customHeight="1" x14ac:dyDescent="0.25">
      <c r="A241" s="37" t="s">
        <v>1</v>
      </c>
      <c r="B241" s="37"/>
      <c r="C241" s="37"/>
      <c r="D241" s="37"/>
      <c r="E241" s="37"/>
      <c r="F241" s="37"/>
      <c r="G241" s="37"/>
    </row>
    <row r="242" spans="1:7" ht="20.100000000000001" customHeight="1" x14ac:dyDescent="0.25">
      <c r="A242" s="38" t="s">
        <v>74</v>
      </c>
      <c r="B242" s="38"/>
      <c r="C242" s="38"/>
      <c r="D242" s="2"/>
      <c r="E242" s="2"/>
      <c r="F242" s="2"/>
      <c r="G242" s="3" t="s">
        <v>3</v>
      </c>
    </row>
    <row r="243" spans="1:7" ht="30" customHeight="1" x14ac:dyDescent="0.25">
      <c r="A243" s="4" t="s">
        <v>4</v>
      </c>
      <c r="B243" s="4" t="s">
        <v>5</v>
      </c>
      <c r="C243" s="4" t="s">
        <v>6</v>
      </c>
      <c r="D243" s="4" t="s">
        <v>7</v>
      </c>
      <c r="E243" s="5" t="s">
        <v>8</v>
      </c>
      <c r="F243" s="4" t="s">
        <v>9</v>
      </c>
      <c r="G243" s="4" t="s">
        <v>10</v>
      </c>
    </row>
    <row r="244" spans="1:7" ht="20.100000000000001" customHeight="1" x14ac:dyDescent="0.25">
      <c r="A244" s="6">
        <v>1</v>
      </c>
      <c r="B244" s="7">
        <v>46006</v>
      </c>
      <c r="C244" s="8" t="s">
        <v>50</v>
      </c>
      <c r="D244" s="24" t="s">
        <v>75</v>
      </c>
      <c r="E244" s="28">
        <v>1000</v>
      </c>
      <c r="F244" s="9">
        <v>5000000</v>
      </c>
      <c r="G244" s="8"/>
    </row>
    <row r="245" spans="1:7" ht="20.100000000000001" customHeight="1" x14ac:dyDescent="0.25">
      <c r="A245" s="6">
        <v>2</v>
      </c>
      <c r="B245" s="7">
        <v>46015</v>
      </c>
      <c r="C245" s="8" t="s">
        <v>25</v>
      </c>
      <c r="D245" s="22" t="s">
        <v>76</v>
      </c>
      <c r="E245" s="28">
        <v>1200</v>
      </c>
      <c r="F245" s="9">
        <v>5000000</v>
      </c>
      <c r="G245" s="8"/>
    </row>
    <row r="246" spans="1:7" ht="20.100000000000001" customHeight="1" x14ac:dyDescent="0.25">
      <c r="A246" s="6">
        <v>3</v>
      </c>
      <c r="B246" s="10"/>
      <c r="C246" s="8"/>
      <c r="D246" s="8"/>
      <c r="E246" s="28"/>
      <c r="F246" s="9"/>
      <c r="G246" s="8"/>
    </row>
    <row r="247" spans="1:7" ht="20.100000000000001" customHeight="1" x14ac:dyDescent="0.25">
      <c r="A247" s="6">
        <v>4</v>
      </c>
      <c r="B247" s="10"/>
      <c r="C247" s="8"/>
      <c r="D247" s="8"/>
      <c r="E247" s="28"/>
      <c r="F247" s="9"/>
      <c r="G247" s="8"/>
    </row>
    <row r="248" spans="1:7" ht="20.100000000000001" customHeight="1" x14ac:dyDescent="0.25">
      <c r="A248" s="6">
        <v>5</v>
      </c>
      <c r="B248" s="10"/>
      <c r="C248" s="8"/>
      <c r="D248" s="8"/>
      <c r="E248" s="28"/>
      <c r="F248" s="9"/>
      <c r="G248" s="8"/>
    </row>
    <row r="249" spans="1:7" ht="20.100000000000001" customHeight="1" x14ac:dyDescent="0.25">
      <c r="E249" s="28">
        <f>SUM(E244:E248)</f>
        <v>2200</v>
      </c>
      <c r="F249" s="11">
        <f>SUM(F244:F248)</f>
        <v>10000000</v>
      </c>
    </row>
    <row r="250" spans="1:7" ht="20.100000000000001" customHeight="1" x14ac:dyDescent="0.25">
      <c r="B250" s="1" t="s">
        <v>10</v>
      </c>
      <c r="C250" s="12" t="s">
        <v>13</v>
      </c>
      <c r="D250" s="12" t="s">
        <v>14</v>
      </c>
      <c r="E250" s="12" t="s">
        <v>15</v>
      </c>
    </row>
    <row r="251" spans="1:7" ht="20.100000000000001" customHeight="1" x14ac:dyDescent="0.25">
      <c r="C251" s="13" t="s">
        <v>16</v>
      </c>
      <c r="D251" s="9">
        <v>0</v>
      </c>
      <c r="E251" s="14"/>
    </row>
    <row r="252" spans="1:7" ht="20.100000000000001" customHeight="1" x14ac:dyDescent="0.25">
      <c r="C252" s="13" t="s">
        <v>17</v>
      </c>
      <c r="D252" s="9">
        <f>F245</f>
        <v>5000000</v>
      </c>
      <c r="E252" s="28">
        <f>E245</f>
        <v>1200</v>
      </c>
    </row>
    <row r="253" spans="1:7" ht="20.100000000000001" customHeight="1" x14ac:dyDescent="0.25">
      <c r="C253" s="13" t="s">
        <v>18</v>
      </c>
      <c r="D253" s="9">
        <f>F244</f>
        <v>5000000</v>
      </c>
      <c r="E253" s="28">
        <f>E244</f>
        <v>1000</v>
      </c>
    </row>
    <row r="254" spans="1:7" ht="20.100000000000001" customHeight="1" x14ac:dyDescent="0.25">
      <c r="C254" s="13" t="s">
        <v>19</v>
      </c>
      <c r="D254" s="9">
        <v>0</v>
      </c>
      <c r="E254" s="28"/>
    </row>
    <row r="255" spans="1:7" ht="20.100000000000001" customHeight="1" x14ac:dyDescent="0.25">
      <c r="C255" s="13" t="s">
        <v>20</v>
      </c>
      <c r="D255" s="9">
        <v>0</v>
      </c>
      <c r="E255" s="28"/>
    </row>
    <row r="256" spans="1:7" ht="20.100000000000001" customHeight="1" x14ac:dyDescent="0.25">
      <c r="C256" s="8"/>
      <c r="D256" s="11">
        <f>SUM(D251:D255)</f>
        <v>10000000</v>
      </c>
      <c r="E256" s="28">
        <f>SUM(E251:E255)</f>
        <v>2200</v>
      </c>
    </row>
    <row r="259" spans="3:5" ht="20.100000000000001" customHeight="1" x14ac:dyDescent="0.25">
      <c r="C259" s="35" t="s">
        <v>77</v>
      </c>
      <c r="D259" s="35"/>
      <c r="E259" s="35"/>
    </row>
    <row r="260" spans="3:5" ht="20.100000000000001" customHeight="1" x14ac:dyDescent="0.25">
      <c r="C260" s="15" t="s">
        <v>13</v>
      </c>
      <c r="D260" s="15" t="s">
        <v>14</v>
      </c>
      <c r="E260" s="16" t="s">
        <v>78</v>
      </c>
    </row>
    <row r="261" spans="3:5" ht="20.100000000000001" customHeight="1" x14ac:dyDescent="0.25">
      <c r="C261" s="17" t="s">
        <v>16</v>
      </c>
      <c r="D261" s="18">
        <f t="shared" ref="D261:E263" si="3">D215+D233+D251</f>
        <v>15000000</v>
      </c>
      <c r="E261" s="19">
        <f t="shared" si="3"/>
        <v>10</v>
      </c>
    </row>
    <row r="262" spans="3:5" ht="20.100000000000001" customHeight="1" x14ac:dyDescent="0.25">
      <c r="C262" s="17" t="s">
        <v>17</v>
      </c>
      <c r="D262" s="18">
        <f t="shared" si="3"/>
        <v>15000000</v>
      </c>
      <c r="E262" s="30">
        <f t="shared" si="3"/>
        <v>6230</v>
      </c>
    </row>
    <row r="263" spans="3:5" ht="20.100000000000001" customHeight="1" x14ac:dyDescent="0.25">
      <c r="C263" s="17" t="s">
        <v>18</v>
      </c>
      <c r="D263" s="18">
        <f t="shared" si="3"/>
        <v>5000000</v>
      </c>
      <c r="E263" s="30">
        <f t="shared" si="3"/>
        <v>1000</v>
      </c>
    </row>
    <row r="264" spans="3:5" ht="20.100000000000001" customHeight="1" x14ac:dyDescent="0.25">
      <c r="C264" s="17" t="s">
        <v>19</v>
      </c>
      <c r="D264" s="18">
        <f>D218+D236+D254</f>
        <v>0</v>
      </c>
      <c r="E264" s="19"/>
    </row>
    <row r="265" spans="3:5" ht="20.100000000000001" customHeight="1" x14ac:dyDescent="0.25">
      <c r="C265" s="17" t="s">
        <v>20</v>
      </c>
      <c r="D265" s="18">
        <f>D219+D237+D255</f>
        <v>0</v>
      </c>
      <c r="E265" s="19"/>
    </row>
    <row r="266" spans="3:5" ht="20.100000000000001" customHeight="1" x14ac:dyDescent="0.25">
      <c r="C266" s="20"/>
      <c r="D266" s="21">
        <f>SUM(D261:D265)</f>
        <v>35000000</v>
      </c>
      <c r="E266" s="30">
        <f>SUM(E261:E265)</f>
        <v>7240</v>
      </c>
    </row>
    <row r="269" spans="3:5" ht="20.100000000000001" customHeight="1" x14ac:dyDescent="0.25">
      <c r="C269" s="34" t="s">
        <v>79</v>
      </c>
      <c r="D269" s="34"/>
      <c r="E269" s="34"/>
    </row>
    <row r="270" spans="3:5" ht="20.100000000000001" customHeight="1" x14ac:dyDescent="0.25">
      <c r="C270" s="35" t="s">
        <v>80</v>
      </c>
      <c r="D270" s="35"/>
      <c r="E270" s="35"/>
    </row>
    <row r="271" spans="3:5" ht="20.100000000000001" customHeight="1" x14ac:dyDescent="0.25">
      <c r="C271" s="15" t="s">
        <v>13</v>
      </c>
      <c r="D271" s="15" t="s">
        <v>14</v>
      </c>
      <c r="E271" s="16" t="s">
        <v>15</v>
      </c>
    </row>
    <row r="272" spans="3:5" ht="20.100000000000001" customHeight="1" x14ac:dyDescent="0.3">
      <c r="C272" s="17" t="s">
        <v>16</v>
      </c>
      <c r="D272" s="18">
        <f t="shared" ref="D272:E276" si="4">D12+D30+D48+D76+D94+D112+D151+D169+D187+D215+D233+D251</f>
        <v>40000000</v>
      </c>
      <c r="E272" s="31">
        <f t="shared" si="4"/>
        <v>391</v>
      </c>
    </row>
    <row r="273" spans="1:7" ht="20.100000000000001" customHeight="1" x14ac:dyDescent="0.3">
      <c r="C273" s="17" t="s">
        <v>17</v>
      </c>
      <c r="D273" s="18">
        <f t="shared" si="4"/>
        <v>45000000</v>
      </c>
      <c r="E273" s="31">
        <f t="shared" si="4"/>
        <v>6342</v>
      </c>
    </row>
    <row r="274" spans="1:7" ht="20.100000000000001" customHeight="1" x14ac:dyDescent="0.3">
      <c r="C274" s="17" t="s">
        <v>18</v>
      </c>
      <c r="D274" s="18">
        <f t="shared" si="4"/>
        <v>15000000</v>
      </c>
      <c r="E274" s="31">
        <f t="shared" si="4"/>
        <v>1008</v>
      </c>
    </row>
    <row r="275" spans="1:7" ht="20.100000000000001" customHeight="1" x14ac:dyDescent="0.3">
      <c r="C275" s="17" t="s">
        <v>19</v>
      </c>
      <c r="D275" s="18">
        <f t="shared" si="4"/>
        <v>10000000</v>
      </c>
      <c r="E275" s="31">
        <f t="shared" si="4"/>
        <v>150</v>
      </c>
    </row>
    <row r="276" spans="1:7" ht="20.100000000000001" customHeight="1" x14ac:dyDescent="0.3">
      <c r="C276" s="17" t="s">
        <v>20</v>
      </c>
      <c r="D276" s="18">
        <f t="shared" si="4"/>
        <v>20000000</v>
      </c>
      <c r="E276" s="31">
        <f t="shared" si="4"/>
        <v>1732</v>
      </c>
    </row>
    <row r="277" spans="1:7" ht="20.100000000000001" customHeight="1" x14ac:dyDescent="0.3">
      <c r="C277" s="20"/>
      <c r="D277" s="21">
        <f>SUM(D272:D276)</f>
        <v>130000000</v>
      </c>
      <c r="E277" s="31">
        <f>SUM(E272:E276)</f>
        <v>9623</v>
      </c>
    </row>
    <row r="279" spans="1:7" x14ac:dyDescent="0.25">
      <c r="B279" s="1" t="s">
        <v>81</v>
      </c>
    </row>
    <row r="280" spans="1:7" ht="48" customHeight="1" x14ac:dyDescent="0.25">
      <c r="A280" s="32">
        <v>1</v>
      </c>
      <c r="B280" s="1" t="s">
        <v>83</v>
      </c>
      <c r="C280" s="36" t="s">
        <v>87</v>
      </c>
      <c r="D280" s="36"/>
      <c r="E280" s="36"/>
      <c r="F280" s="36"/>
      <c r="G280" s="36"/>
    </row>
    <row r="281" spans="1:7" ht="48" customHeight="1" x14ac:dyDescent="0.25">
      <c r="A281" s="32">
        <v>2</v>
      </c>
      <c r="B281" s="1" t="s">
        <v>82</v>
      </c>
      <c r="C281" s="33" t="s">
        <v>88</v>
      </c>
      <c r="D281" s="33"/>
      <c r="E281" s="33"/>
      <c r="F281" s="33"/>
      <c r="G281" s="33"/>
    </row>
    <row r="282" spans="1:7" ht="48" customHeight="1" x14ac:dyDescent="0.25">
      <c r="A282" s="32">
        <v>3</v>
      </c>
      <c r="B282" s="1" t="s">
        <v>84</v>
      </c>
      <c r="C282" s="33" t="s">
        <v>89</v>
      </c>
      <c r="D282" s="33"/>
      <c r="E282" s="33"/>
      <c r="F282" s="33"/>
      <c r="G282" s="33"/>
    </row>
    <row r="283" spans="1:7" ht="48" customHeight="1" x14ac:dyDescent="0.25">
      <c r="A283" s="32">
        <v>4</v>
      </c>
      <c r="B283" s="1" t="s">
        <v>85</v>
      </c>
      <c r="C283" s="33" t="s">
        <v>90</v>
      </c>
      <c r="D283" s="33"/>
      <c r="E283" s="33"/>
      <c r="F283" s="33"/>
      <c r="G283" s="33"/>
    </row>
    <row r="284" spans="1:7" ht="48" customHeight="1" x14ac:dyDescent="0.25">
      <c r="A284" s="32">
        <v>5</v>
      </c>
      <c r="B284" s="1" t="s">
        <v>86</v>
      </c>
      <c r="C284" s="33" t="s">
        <v>91</v>
      </c>
      <c r="D284" s="33"/>
      <c r="E284" s="33"/>
      <c r="F284" s="33"/>
      <c r="G284" s="33"/>
    </row>
  </sheetData>
  <mergeCells count="49">
    <mergeCell ref="A21:C21"/>
    <mergeCell ref="A1:G1"/>
    <mergeCell ref="A2:G2"/>
    <mergeCell ref="A3:C3"/>
    <mergeCell ref="A19:G19"/>
    <mergeCell ref="A20:G20"/>
    <mergeCell ref="A102:G102"/>
    <mergeCell ref="A37:G37"/>
    <mergeCell ref="A38:G38"/>
    <mergeCell ref="A39:C39"/>
    <mergeCell ref="C56:E56"/>
    <mergeCell ref="A65:G65"/>
    <mergeCell ref="A66:G66"/>
    <mergeCell ref="A67:C67"/>
    <mergeCell ref="A83:G83"/>
    <mergeCell ref="A84:G84"/>
    <mergeCell ref="A85:C85"/>
    <mergeCell ref="A101:G101"/>
    <mergeCell ref="A177:G177"/>
    <mergeCell ref="A103:C103"/>
    <mergeCell ref="C120:E120"/>
    <mergeCell ref="C129:E129"/>
    <mergeCell ref="C130:E130"/>
    <mergeCell ref="A140:G140"/>
    <mergeCell ref="A141:G141"/>
    <mergeCell ref="A142:C142"/>
    <mergeCell ref="A158:G158"/>
    <mergeCell ref="A159:G159"/>
    <mergeCell ref="A160:C160"/>
    <mergeCell ref="A176:G176"/>
    <mergeCell ref="C259:E259"/>
    <mergeCell ref="A178:C178"/>
    <mergeCell ref="C195:E195"/>
    <mergeCell ref="A204:G204"/>
    <mergeCell ref="A205:G205"/>
    <mergeCell ref="A206:C206"/>
    <mergeCell ref="A222:G222"/>
    <mergeCell ref="A223:G223"/>
    <mergeCell ref="A224:C224"/>
    <mergeCell ref="A240:G240"/>
    <mergeCell ref="A241:G241"/>
    <mergeCell ref="A242:C242"/>
    <mergeCell ref="C284:G284"/>
    <mergeCell ref="C269:E269"/>
    <mergeCell ref="C270:E270"/>
    <mergeCell ref="C280:G280"/>
    <mergeCell ref="C281:G281"/>
    <mergeCell ref="C282:G282"/>
    <mergeCell ref="C283:G28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Niltal Amal</cp:lastModifiedBy>
  <cp:lastPrinted>2026-03-18T23:31:33Z</cp:lastPrinted>
  <dcterms:created xsi:type="dcterms:W3CDTF">2026-02-03T01:55:18Z</dcterms:created>
  <dcterms:modified xsi:type="dcterms:W3CDTF">2026-03-18T23:31:41Z</dcterms:modified>
</cp:coreProperties>
</file>